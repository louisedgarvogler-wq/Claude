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sgaben" sheetId="1" state="visible" r:id="rId3"/>
    <sheet name="Übersicht" sheetId="2" state="visible" r:id="rId4"/>
    <sheet name="Listen" sheetId="3" state="visible" r:id="rId5"/>
    <sheet name="Legen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<sst xmlns="http://schemas.openxmlformats.org/spreadsheetml/2006/main" count="85" uniqueCount="67">
  <si>
    <t xml:space="preserve">Datum</t>
  </si>
  <si>
    <t xml:space="preserve">Monat</t>
  </si>
  <si>
    <t xml:space="preserve">Kategorie</t>
  </si>
  <si>
    <t xml:space="preserve">Beschreibung</t>
  </si>
  <si>
    <t xml:space="preserve">Betrag netto</t>
  </si>
  <si>
    <t xml:space="preserve">USt-Satz</t>
  </si>
  <si>
    <t xml:space="preserve">USt-Betrag</t>
  </si>
  <si>
    <t xml:space="preserve">Betrag brutto</t>
  </si>
  <si>
    <t xml:space="preserve">Zahlungsart</t>
  </si>
  <si>
    <t xml:space="preserve">Beleg-Nr.</t>
  </si>
  <si>
    <t xml:space="preserve">Notiz</t>
  </si>
  <si>
    <t xml:space="preserve">Software &amp; Abos</t>
  </si>
  <si>
    <t xml:space="preserve">Beispiel: DaVinci Resolve Studio Lizenz</t>
  </si>
  <si>
    <t xml:space="preserve">Kreditkarte</t>
  </si>
  <si>
    <t xml:space="preserve">2026-001</t>
  </si>
  <si>
    <t xml:space="preserve">Beispielzeile – kann überschrieben werden</t>
  </si>
  <si>
    <t xml:space="preserve">Ausgaben 2026 – Übersicht (Beträge netto)</t>
  </si>
  <si>
    <t xml:space="preserve">Alle Werte werden automatisch aus dem Blatt 'Ausgaben' berechnet – hier nichts eingeben.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</si>
  <si>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</si>
  <si>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</si>
  <si>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</si>
  <si>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</si>
  <si>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</si>
  <si>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</si>
  <si>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</si>
  <si>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</si>
  <si>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</si>
  <si>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</si>
  <si>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</si>
  <si>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</si>
  <si>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Summe</t>
  </si>
  <si>
    <t xml:space="preserve">Equipment &amp; Technik</t>
  </si>
  <si>
    <t xml:space="preserve">Reisekosten</t>
  </si>
  <si>
    <t xml:space="preserve">Fahrzeug &amp; Transport</t>
  </si>
  <si>
    <t xml:space="preserve">Marketing &amp; Werbung</t>
  </si>
  <si>
    <t xml:space="preserve">Versicherungen</t>
  </si>
  <si>
    <t xml:space="preserve">Büro &amp; Verbrauchsmaterial</t>
  </si>
  <si>
    <t xml:space="preserve">Fortbildung</t>
  </si>
  <si>
    <t xml:space="preserve">Musikproduktion</t>
  </si>
  <si>
    <t xml:space="preserve">Fremdleistungen</t>
  </si>
  <si>
    <t xml:space="preserve">Gebühren &amp; Beiträge</t>
  </si>
  <si>
    <t xml:space="preserve">Steuer &amp; Beratung</t>
  </si>
  <si>
    <t xml:space="preserve">Miete &amp; Studio</t>
  </si>
  <si>
    <t xml:space="preserve">Sonstiges</t>
  </si>
  <si>
    <t xml:space="preserve">Gesamt netto</t>
  </si>
  <si>
    <t xml:space="preserve">Jahreswerte 2026</t>
  </si>
  <si>
    <t xml:space="preserve">Gesamt USt</t>
  </si>
  <si>
    <t xml:space="preserve">Gesamt brutto</t>
  </si>
  <si>
    <t xml:space="preserve">Anzahl Einträge</t>
  </si>
  <si>
    <t xml:space="preserve">Kategorien</t>
  </si>
  <si>
    <t xml:space="preserve">Zahlungsarten</t>
  </si>
  <si>
    <t xml:space="preserve">Überweisung</t>
  </si>
  <si>
    <t xml:space="preserve">EC-Karte</t>
  </si>
  <si>
    <t xml:space="preserve">PayPal</t>
  </si>
  <si>
    <t xml:space="preserve">Bar</t>
  </si>
  <si>
    <t xml:space="preserve">Lastschrift</t>
  </si>
  <si>
    <t xml:space="preserve">Ausgaben 2026 – Hinweise zur Nutzung</t>
  </si>
  <si>
    <t xml:space="preserve">Eingaben nur im Blatt 'Ausgaben', in den blau formatierten Spalten:</t>
  </si>
  <si>
    <t xml:space="preserve">  Datum, Kategorie, Beschreibung, Betrag netto, USt-Satz, Zahlungsart, Beleg-Nr., Notiz.</t>
  </si>
  <si>
    <t xml:space="preserve">Die Spalten Monat, USt-Betrag und Betrag brutto werden automatisch berechnet – nicht überschreiben.</t>
  </si>
  <si>
    <t xml:space="preserve">USt-Satz als Prozentwert aus der Auswahlliste wählen (0 %, 7 %, 19 %).</t>
  </si>
  <si>
    <t xml:space="preserve">Kategorie und Zahlungsart per Dropdown wählen; die Listen stehen im Blatt 'Listen' und können dort erweitert werden.</t>
  </si>
  <si>
    <t xml:space="preserve">Neue Kategorien im Blatt 'Listen' müssen zusätzlich im Blatt 'Übersicht' als Zeile ergänzt werden.</t>
  </si>
  <si>
    <t xml:space="preserve">Das Blatt 'Übersicht' fasst alle Einträge automatisch nach Kategorie und Monat zusammen (Nettobeträge).</t>
  </si>
  <si>
    <t xml:space="preserve">Die Tabelle ist für 300 Einträge vorbereitet (Zeilen 2–301). Bei mehr Einträgen Formelzeilen nach unten kopieren.</t>
  </si>
  <si>
    <t xml:space="preserve">Zeile 2 im Blatt 'Ausgaben' ist eine Beispielzeile mit realistischen Werten – sie kann überschrieben werden.</t>
  </si>
  <si>
    <t xml:space="preserve">Annahme: Standard-USt-Satz in der Beispielzeile 19 % (Deutschland). Alle Beträge in Euro.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</si>
</sst>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#,##0.00&quot; €&quot;;\-#,##0.00&quot; €&quot;;\–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f aca="false">DATE(2026,1,5)</f>
        <v>46027</v>
      </c>
      <c r="B2" s="3" t="n">
        <f aca="false">IF(A2="","",MONTH(A2))</f>
        <v>1</v>
      </c>
      <c r="C2" s="4" t="s">
        <v>11</v>
      </c>
      <c r="D2" s="4" t="s">
        <v>12</v>
      </c>
      <c r="E2" s="5" t="n">
        <v>295</v>
      </c>
      <c r="F2" s="6" t="n">
        <v>0.19</v>
      </c>
      <c r="G2" s="7" t="n">
        <f aca="false">IF(E2="","",ROUND(E2*F2,2))</f>
        <v>56.05</v>
      </c>
      <c r="H2" s="7" t="n">
        <f aca="false">IF(E2="","",E2+G2)</f>
        <v>351.05</v>
      </c>
      <c r="I2" s="4" t="s">
        <v>13</v>
      </c>
      <c r="J2" s="4" t="s">
        <v>14</v>
      </c>
      <c r="K2" s="4" t="s">
        <v>15</v>
      </c>
    </row>
    <row r="3" customFormat="false" ht="15" hidden="false" customHeight="false" outlineLevel="0" collapsed="false">
      <c r="A3" s="2"/>
      <c r="B3" s="3" t="str">
        <f aca="false">IF(A3="","",MONTH(A3))</f>
        <v/>
      </c>
      <c r="C3" s="4"/>
      <c r="D3" s="4"/>
      <c r="E3" s="5"/>
      <c r="F3" s="6"/>
      <c r="G3" s="7" t="str">
        <f aca="false">IF(E3="","",ROUND(E3*F3,2))</f>
        <v/>
      </c>
      <c r="H3" s="7" t="str">
        <f aca="false">IF(E3="","",E3+G3)</f>
        <v/>
      </c>
      <c r="I3" s="4"/>
      <c r="J3" s="4"/>
      <c r="K3" s="4"/>
    </row>
    <row r="4" customFormat="false" ht="15" hidden="false" customHeight="false" outlineLevel="0" collapsed="false">
      <c r="A4" s="2"/>
      <c r="B4" s="3" t="str">
        <f aca="false">IF(A4="","",MONTH(A4))</f>
        <v/>
      </c>
      <c r="C4" s="4"/>
      <c r="D4" s="4"/>
      <c r="E4" s="5"/>
      <c r="F4" s="6"/>
      <c r="G4" s="7" t="str">
        <f aca="false">IF(E4="","",ROUND(E4*F4,2))</f>
        <v/>
      </c>
      <c r="H4" s="7" t="str">
        <f aca="false">IF(E4="","",E4+G4)</f>
        <v/>
      </c>
      <c r="I4" s="4"/>
      <c r="J4" s="4"/>
      <c r="K4" s="4"/>
    </row>
    <row r="5" customFormat="false" ht="15" hidden="false" customHeight="false" outlineLevel="0" collapsed="false">
      <c r="A5" s="2"/>
      <c r="B5" s="3" t="str">
        <f aca="false">IF(A5="","",MONTH(A5))</f>
        <v/>
      </c>
      <c r="C5" s="4"/>
      <c r="D5" s="4"/>
      <c r="E5" s="5"/>
      <c r="F5" s="6"/>
      <c r="G5" s="7" t="str">
        <f aca="false">IF(E5="","",ROUND(E5*F5,2))</f>
        <v/>
      </c>
      <c r="H5" s="7" t="str">
        <f aca="false">IF(E5="","",E5+G5)</f>
        <v/>
      </c>
      <c r="I5" s="4"/>
      <c r="J5" s="4"/>
      <c r="K5" s="4"/>
    </row>
    <row r="6" customFormat="false" ht="15" hidden="false" customHeight="false" outlineLevel="0" collapsed="false">
      <c r="A6" s="2"/>
      <c r="B6" s="3" t="str">
        <f aca="false">IF(A6="","",MONTH(A6))</f>
        <v/>
      </c>
      <c r="C6" s="4"/>
      <c r="D6" s="4"/>
      <c r="E6" s="5"/>
      <c r="F6" s="6"/>
      <c r="G6" s="7" t="str">
        <f aca="false">IF(E6="","",ROUND(E6*F6,2))</f>
        <v/>
      </c>
      <c r="H6" s="7" t="str">
        <f aca="false">IF(E6="","",E6+G6)</f>
        <v/>
      </c>
      <c r="I6" s="4"/>
      <c r="J6" s="4"/>
      <c r="K6" s="4"/>
    </row>
    <row r="7" customFormat="false" ht="15" hidden="false" customHeight="false" outlineLevel="0" collapsed="false">
      <c r="A7" s="2"/>
      <c r="B7" s="3" t="str">
        <f aca="false">IF(A7="","",MONTH(A7))</f>
        <v/>
      </c>
      <c r="C7" s="4"/>
      <c r="D7" s="4"/>
      <c r="E7" s="5"/>
      <c r="F7" s="6"/>
      <c r="G7" s="7" t="str">
        <f aca="false">IF(E7="","",ROUND(E7*F7,2))</f>
        <v/>
      </c>
      <c r="H7" s="7" t="str">
        <f aca="false">IF(E7="","",E7+G7)</f>
        <v/>
      </c>
      <c r="I7" s="4"/>
      <c r="J7" s="4"/>
      <c r="K7" s="4"/>
    </row>
    <row r="8" customFormat="false" ht="15" hidden="false" customHeight="false" outlineLevel="0" collapsed="false">
      <c r="A8" s="2"/>
      <c r="B8" s="3" t="str">
        <f aca="false">IF(A8="","",MONTH(A8))</f>
        <v/>
      </c>
      <c r="C8" s="4"/>
      <c r="D8" s="4"/>
      <c r="E8" s="5"/>
      <c r="F8" s="6"/>
      <c r="G8" s="7" t="str">
        <f aca="false">IF(E8="","",ROUND(E8*F8,2))</f>
        <v/>
      </c>
      <c r="H8" s="7" t="str">
        <f aca="false">IF(E8="","",E8+G8)</f>
        <v/>
      </c>
      <c r="I8" s="4"/>
      <c r="J8" s="4"/>
      <c r="K8" s="4"/>
    </row>
    <row r="9" customFormat="false" ht="15" hidden="false" customHeight="false" outlineLevel="0" collapsed="false">
      <c r="A9" s="2"/>
      <c r="B9" s="3" t="str">
        <f aca="false">IF(A9="","",MONTH(A9))</f>
        <v/>
      </c>
      <c r="C9" s="4"/>
      <c r="D9" s="4"/>
      <c r="E9" s="5"/>
      <c r="F9" s="6"/>
      <c r="G9" s="7" t="str">
        <f aca="false">IF(E9="","",ROUND(E9*F9,2))</f>
        <v/>
      </c>
      <c r="H9" s="7" t="str">
        <f aca="false">IF(E9="","",E9+G9)</f>
        <v/>
      </c>
      <c r="I9" s="4"/>
      <c r="J9" s="4"/>
      <c r="K9" s="4"/>
    </row>
    <row r="10" customFormat="false" ht="15" hidden="false" customHeight="false" outlineLevel="0" collapsed="false">
      <c r="A10" s="2"/>
      <c r="B10" s="3" t="str">
        <f aca="false">IF(A10="","",MONTH(A10))</f>
        <v/>
      </c>
      <c r="C10" s="4"/>
      <c r="D10" s="4"/>
      <c r="E10" s="5"/>
      <c r="F10" s="6"/>
      <c r="G10" s="7" t="str">
        <f aca="false">IF(E10="","",ROUND(E10*F10,2))</f>
        <v/>
      </c>
      <c r="H10" s="7" t="str">
        <f aca="false">IF(E10="","",E10+G10)</f>
        <v/>
      </c>
      <c r="I10" s="4"/>
      <c r="J10" s="4"/>
      <c r="K10" s="4"/>
    </row>
    <row r="11" customFormat="false" ht="15" hidden="false" customHeight="false" outlineLevel="0" collapsed="false">
      <c r="A11" s="2"/>
      <c r="B11" s="3" t="str">
        <f aca="false">IF(A11="","",MONTH(A11))</f>
        <v/>
      </c>
      <c r="C11" s="4"/>
      <c r="D11" s="4"/>
      <c r="E11" s="5"/>
      <c r="F11" s="6"/>
      <c r="G11" s="7" t="str">
        <f aca="false">IF(E11="","",ROUND(E11*F11,2))</f>
        <v/>
      </c>
      <c r="H11" s="7" t="str">
        <f aca="false">IF(E11="","",E11+G11)</f>
        <v/>
      </c>
      <c r="I11" s="4"/>
      <c r="J11" s="4"/>
      <c r="K11" s="4"/>
    </row>
    <row r="12" customFormat="false" ht="15" hidden="false" customHeight="false" outlineLevel="0" collapsed="false">
      <c r="A12" s="2"/>
      <c r="B12" s="3" t="str">
        <f aca="false">IF(A12="","",MONTH(A12))</f>
        <v/>
      </c>
      <c r="C12" s="4"/>
      <c r="D12" s="4"/>
      <c r="E12" s="5"/>
      <c r="F12" s="6"/>
      <c r="G12" s="7" t="str">
        <f aca="false">IF(E12="","",ROUND(E12*F12,2))</f>
        <v/>
      </c>
      <c r="H12" s="7" t="str">
        <f aca="false">IF(E12="","",E12+G12)</f>
        <v/>
      </c>
      <c r="I12" s="4"/>
      <c r="J12" s="4"/>
      <c r="K12" s="4"/>
    </row>
    <row r="13" customFormat="false" ht="15" hidden="false" customHeight="false" outlineLevel="0" collapsed="false">
      <c r="A13" s="2"/>
      <c r="B13" s="3" t="str">
        <f aca="false">IF(A13="","",MONTH(A13))</f>
        <v/>
      </c>
      <c r="C13" s="4"/>
      <c r="D13" s="4"/>
      <c r="E13" s="5"/>
      <c r="F13" s="6"/>
      <c r="G13" s="7" t="str">
        <f aca="false">IF(E13="","",ROUND(E13*F13,2))</f>
        <v/>
      </c>
      <c r="H13" s="7" t="str">
        <f aca="false">IF(E13="","",E13+G13)</f>
        <v/>
      </c>
      <c r="I13" s="4"/>
      <c r="J13" s="4"/>
      <c r="K13" s="4"/>
    </row>
    <row r="14" customFormat="false" ht="15" hidden="false" customHeight="false" outlineLevel="0" collapsed="false">
      <c r="A14" s="2"/>
      <c r="B14" s="3" t="str">
        <f aca="false">IF(A14="","",MONTH(A14))</f>
        <v/>
      </c>
      <c r="C14" s="4"/>
      <c r="D14" s="4"/>
      <c r="E14" s="5"/>
      <c r="F14" s="6"/>
      <c r="G14" s="7" t="str">
        <f aca="false">IF(E14="","",ROUND(E14*F14,2))</f>
        <v/>
      </c>
      <c r="H14" s="7" t="str">
        <f aca="false">IF(E14="","",E14+G14)</f>
        <v/>
      </c>
      <c r="I14" s="4"/>
      <c r="J14" s="4"/>
      <c r="K14" s="4"/>
    </row>
    <row r="15" customFormat="false" ht="15" hidden="false" customHeight="false" outlineLevel="0" collapsed="false">
      <c r="A15" s="2"/>
      <c r="B15" s="3" t="str">
        <f aca="false">IF(A15="","",MONTH(A15))</f>
        <v/>
      </c>
      <c r="C15" s="4"/>
      <c r="D15" s="4"/>
      <c r="E15" s="5"/>
      <c r="F15" s="6"/>
      <c r="G15" s="7" t="str">
        <f aca="false">IF(E15="","",ROUND(E15*F15,2))</f>
        <v/>
      </c>
      <c r="H15" s="7" t="str">
        <f aca="false">IF(E15="","",E15+G15)</f>
        <v/>
      </c>
      <c r="I15" s="4"/>
      <c r="J15" s="4"/>
      <c r="K15" s="4"/>
    </row>
    <row r="16" customFormat="false" ht="15" hidden="false" customHeight="false" outlineLevel="0" collapsed="false">
      <c r="A16" s="2"/>
      <c r="B16" s="3" t="str">
        <f aca="false">IF(A16="","",MONTH(A16))</f>
        <v/>
      </c>
      <c r="C16" s="4"/>
      <c r="D16" s="4"/>
      <c r="E16" s="5"/>
      <c r="F16" s="6"/>
      <c r="G16" s="7" t="str">
        <f aca="false">IF(E16="","",ROUND(E16*F16,2))</f>
        <v/>
      </c>
      <c r="H16" s="7" t="str">
        <f aca="false">IF(E16="","",E16+G16)</f>
        <v/>
      </c>
      <c r="I16" s="4"/>
      <c r="J16" s="4"/>
      <c r="K16" s="4"/>
    </row>
    <row r="17" customFormat="false" ht="15" hidden="false" customHeight="false" outlineLevel="0" collapsed="false">
      <c r="A17" s="2"/>
      <c r="B17" s="3" t="str">
        <f aca="false">IF(A17="","",MONTH(A17))</f>
        <v/>
      </c>
      <c r="C17" s="4"/>
      <c r="D17" s="4"/>
      <c r="E17" s="5"/>
      <c r="F17" s="6"/>
      <c r="G17" s="7" t="str">
        <f aca="false">IF(E17="","",ROUND(E17*F17,2))</f>
        <v/>
      </c>
      <c r="H17" s="7" t="str">
        <f aca="false">IF(E17="","",E17+G17)</f>
        <v/>
      </c>
      <c r="I17" s="4"/>
      <c r="J17" s="4"/>
      <c r="K17" s="4"/>
    </row>
    <row r="18" customFormat="false" ht="15" hidden="false" customHeight="false" outlineLevel="0" collapsed="false">
      <c r="A18" s="2"/>
      <c r="B18" s="3" t="str">
        <f aca="false">IF(A18="","",MONTH(A18))</f>
        <v/>
      </c>
      <c r="C18" s="4"/>
      <c r="D18" s="4"/>
      <c r="E18" s="5"/>
      <c r="F18" s="6"/>
      <c r="G18" s="7" t="str">
        <f aca="false">IF(E18="","",ROUND(E18*F18,2))</f>
        <v/>
      </c>
      <c r="H18" s="7" t="str">
        <f aca="false">IF(E18="","",E18+G18)</f>
        <v/>
      </c>
      <c r="I18" s="4"/>
      <c r="J18" s="4"/>
      <c r="K18" s="4"/>
    </row>
    <row r="19" customFormat="false" ht="15" hidden="false" customHeight="false" outlineLevel="0" collapsed="false">
      <c r="A19" s="2"/>
      <c r="B19" s="3" t="str">
        <f aca="false">IF(A19="","",MONTH(A19))</f>
        <v/>
      </c>
      <c r="C19" s="4"/>
      <c r="D19" s="4"/>
      <c r="E19" s="5"/>
      <c r="F19" s="6"/>
      <c r="G19" s="7" t="str">
        <f aca="false">IF(E19="","",ROUND(E19*F19,2))</f>
        <v/>
      </c>
      <c r="H19" s="7" t="str">
        <f aca="false">IF(E19="","",E19+G19)</f>
        <v/>
      </c>
      <c r="I19" s="4"/>
      <c r="J19" s="4"/>
      <c r="K19" s="4"/>
    </row>
    <row r="20" customFormat="false" ht="15" hidden="false" customHeight="false" outlineLevel="0" collapsed="false">
      <c r="A20" s="2"/>
      <c r="B20" s="3" t="str">
        <f aca="false">IF(A20="","",MONTH(A20))</f>
        <v/>
      </c>
      <c r="C20" s="4"/>
      <c r="D20" s="4"/>
      <c r="E20" s="5"/>
      <c r="F20" s="6"/>
      <c r="G20" s="7" t="str">
        <f aca="false">IF(E20="","",ROUND(E20*F20,2))</f>
        <v/>
      </c>
      <c r="H20" s="7" t="str">
        <f aca="false">IF(E20="","",E20+G20)</f>
        <v/>
      </c>
      <c r="I20" s="4"/>
      <c r="J20" s="4"/>
      <c r="K20" s="4"/>
    </row>
    <row r="21" customFormat="false" ht="15" hidden="false" customHeight="false" outlineLevel="0" collapsed="false">
      <c r="A21" s="2"/>
      <c r="B21" s="3" t="str">
        <f aca="false">IF(A21="","",MONTH(A21))</f>
        <v/>
      </c>
      <c r="C21" s="4"/>
      <c r="D21" s="4"/>
      <c r="E21" s="5"/>
      <c r="F21" s="6"/>
      <c r="G21" s="7" t="str">
        <f aca="false">IF(E21="","",ROUND(E21*F21,2))</f>
        <v/>
      </c>
      <c r="H21" s="7" t="str">
        <f aca="false">IF(E21="","",E21+G21)</f>
        <v/>
      </c>
      <c r="I21" s="4"/>
      <c r="J21" s="4"/>
      <c r="K21" s="4"/>
    </row>
    <row r="22" customFormat="false" ht="15" hidden="false" customHeight="false" outlineLevel="0" collapsed="false">
      <c r="A22" s="2"/>
      <c r="B22" s="3" t="str">
        <f aca="false">IF(A22="","",MONTH(A22))</f>
        <v/>
      </c>
      <c r="C22" s="4"/>
      <c r="D22" s="4"/>
      <c r="E22" s="5"/>
      <c r="F22" s="6"/>
      <c r="G22" s="7" t="str">
        <f aca="false">IF(E22="","",ROUND(E22*F22,2))</f>
        <v/>
      </c>
      <c r="H22" s="7" t="str">
        <f aca="false">IF(E22="","",E22+G22)</f>
        <v/>
      </c>
      <c r="I22" s="4"/>
      <c r="J22" s="4"/>
      <c r="K22" s="4"/>
    </row>
    <row r="23" customFormat="false" ht="15" hidden="false" customHeight="false" outlineLevel="0" collapsed="false">
      <c r="A23" s="2"/>
      <c r="B23" s="3" t="str">
        <f aca="false">IF(A23="","",MONTH(A23))</f>
        <v/>
      </c>
      <c r="C23" s="4"/>
      <c r="D23" s="4"/>
      <c r="E23" s="5"/>
      <c r="F23" s="6"/>
      <c r="G23" s="7" t="str">
        <f aca="false">IF(E23="","",ROUND(E23*F23,2))</f>
        <v/>
      </c>
      <c r="H23" s="7" t="str">
        <f aca="false">IF(E23="","",E23+G23)</f>
        <v/>
      </c>
      <c r="I23" s="4"/>
      <c r="J23" s="4"/>
      <c r="K23" s="4"/>
    </row>
    <row r="24" customFormat="false" ht="15" hidden="false" customHeight="false" outlineLevel="0" collapsed="false">
      <c r="A24" s="2"/>
      <c r="B24" s="3" t="str">
        <f aca="false">IF(A24="","",MONTH(A24))</f>
        <v/>
      </c>
      <c r="C24" s="4"/>
      <c r="D24" s="4"/>
      <c r="E24" s="5"/>
      <c r="F24" s="6"/>
      <c r="G24" s="7" t="str">
        <f aca="false">IF(E24="","",ROUND(E24*F24,2))</f>
        <v/>
      </c>
      <c r="H24" s="7" t="str">
        <f aca="false">IF(E24="","",E24+G24)</f>
        <v/>
      </c>
      <c r="I24" s="4"/>
      <c r="J24" s="4"/>
      <c r="K24" s="4"/>
    </row>
    <row r="25" customFormat="false" ht="15" hidden="false" customHeight="false" outlineLevel="0" collapsed="false">
      <c r="A25" s="2"/>
      <c r="B25" s="3" t="str">
        <f aca="false">IF(A25="","",MONTH(A25))</f>
        <v/>
      </c>
      <c r="C25" s="4"/>
      <c r="D25" s="4"/>
      <c r="E25" s="5"/>
      <c r="F25" s="6"/>
      <c r="G25" s="7" t="str">
        <f aca="false">IF(E25="","",ROUND(E25*F25,2))</f>
        <v/>
      </c>
      <c r="H25" s="7" t="str">
        <f aca="false">IF(E25="","",E25+G25)</f>
        <v/>
      </c>
      <c r="I25" s="4"/>
      <c r="J25" s="4"/>
      <c r="K25" s="4"/>
    </row>
    <row r="26" customFormat="false" ht="15" hidden="false" customHeight="false" outlineLevel="0" collapsed="false">
      <c r="A26" s="2"/>
      <c r="B26" s="3" t="str">
        <f aca="false">IF(A26="","",MONTH(A26))</f>
        <v/>
      </c>
      <c r="C26" s="4"/>
      <c r="D26" s="4"/>
      <c r="E26" s="5"/>
      <c r="F26" s="6"/>
      <c r="G26" s="7" t="str">
        <f aca="false">IF(E26="","",ROUND(E26*F26,2))</f>
        <v/>
      </c>
      <c r="H26" s="7" t="str">
        <f aca="false">IF(E26="","",E26+G26)</f>
        <v/>
      </c>
      <c r="I26" s="4"/>
      <c r="J26" s="4"/>
      <c r="K26" s="4"/>
    </row>
    <row r="27" customFormat="false" ht="15" hidden="false" customHeight="false" outlineLevel="0" collapsed="false">
      <c r="A27" s="2"/>
      <c r="B27" s="3" t="str">
        <f aca="false">IF(A27="","",MONTH(A27))</f>
        <v/>
      </c>
      <c r="C27" s="4"/>
      <c r="D27" s="4"/>
      <c r="E27" s="5"/>
      <c r="F27" s="6"/>
      <c r="G27" s="7" t="str">
        <f aca="false">IF(E27="","",ROUND(E27*F27,2))</f>
        <v/>
      </c>
      <c r="H27" s="7" t="str">
        <f aca="false">IF(E27="","",E27+G27)</f>
        <v/>
      </c>
      <c r="I27" s="4"/>
      <c r="J27" s="4"/>
      <c r="K27" s="4"/>
    </row>
    <row r="28" customFormat="false" ht="15" hidden="false" customHeight="false" outlineLevel="0" collapsed="false">
      <c r="A28" s="2"/>
      <c r="B28" s="3" t="str">
        <f aca="false">IF(A28="","",MONTH(A28))</f>
        <v/>
      </c>
      <c r="C28" s="4"/>
      <c r="D28" s="4"/>
      <c r="E28" s="5"/>
      <c r="F28" s="6"/>
      <c r="G28" s="7" t="str">
        <f aca="false">IF(E28="","",ROUND(E28*F28,2))</f>
        <v/>
      </c>
      <c r="H28" s="7" t="str">
        <f aca="false">IF(E28="","",E28+G28)</f>
        <v/>
      </c>
      <c r="I28" s="4"/>
      <c r="J28" s="4"/>
      <c r="K28" s="4"/>
    </row>
    <row r="29" customFormat="false" ht="15" hidden="false" customHeight="false" outlineLevel="0" collapsed="false">
      <c r="A29" s="2"/>
      <c r="B29" s="3" t="str">
        <f aca="false">IF(A29="","",MONTH(A29))</f>
        <v/>
      </c>
      <c r="C29" s="4"/>
      <c r="D29" s="4"/>
      <c r="E29" s="5"/>
      <c r="F29" s="6"/>
      <c r="G29" s="7" t="str">
        <f aca="false">IF(E29="","",ROUND(E29*F29,2))</f>
        <v/>
      </c>
      <c r="H29" s="7" t="str">
        <f aca="false">IF(E29="","",E29+G29)</f>
        <v/>
      </c>
      <c r="I29" s="4"/>
      <c r="J29" s="4"/>
      <c r="K29" s="4"/>
    </row>
    <row r="30" customFormat="false" ht="15" hidden="false" customHeight="false" outlineLevel="0" collapsed="false">
      <c r="A30" s="2"/>
      <c r="B30" s="3" t="str">
        <f aca="false">IF(A30="","",MONTH(A30))</f>
        <v/>
      </c>
      <c r="C30" s="4"/>
      <c r="D30" s="4"/>
      <c r="E30" s="5"/>
      <c r="F30" s="6"/>
      <c r="G30" s="7" t="str">
        <f aca="false">IF(E30="","",ROUND(E30*F30,2))</f>
        <v/>
      </c>
      <c r="H30" s="7" t="str">
        <f aca="false">IF(E30="","",E30+G30)</f>
        <v/>
      </c>
      <c r="I30" s="4"/>
      <c r="J30" s="4"/>
      <c r="K30" s="4"/>
    </row>
    <row r="31" customFormat="false" ht="15" hidden="false" customHeight="false" outlineLevel="0" collapsed="false">
      <c r="A31" s="2"/>
      <c r="B31" s="3" t="str">
        <f aca="false">IF(A31="","",MONTH(A31))</f>
        <v/>
      </c>
      <c r="C31" s="4"/>
      <c r="D31" s="4"/>
      <c r="E31" s="5"/>
      <c r="F31" s="6"/>
      <c r="G31" s="7" t="str">
        <f aca="false">IF(E31="","",ROUND(E31*F31,2))</f>
        <v/>
      </c>
      <c r="H31" s="7" t="str">
        <f aca="false">IF(E31="","",E31+G31)</f>
        <v/>
      </c>
      <c r="I31" s="4"/>
      <c r="J31" s="4"/>
      <c r="K31" s="4"/>
    </row>
    <row r="32" customFormat="false" ht="15" hidden="false" customHeight="false" outlineLevel="0" collapsed="false">
      <c r="A32" s="2"/>
      <c r="B32" s="3" t="str">
        <f aca="false">IF(A32="","",MONTH(A32))</f>
        <v/>
      </c>
      <c r="C32" s="4"/>
      <c r="D32" s="4"/>
      <c r="E32" s="5"/>
      <c r="F32" s="6"/>
      <c r="G32" s="7" t="str">
        <f aca="false">IF(E32="","",ROUND(E32*F32,2))</f>
        <v/>
      </c>
      <c r="H32" s="7" t="str">
        <f aca="false">IF(E32="","",E32+G32)</f>
        <v/>
      </c>
      <c r="I32" s="4"/>
      <c r="J32" s="4"/>
      <c r="K32" s="4"/>
    </row>
    <row r="33" customFormat="false" ht="15" hidden="false" customHeight="false" outlineLevel="0" collapsed="false">
      <c r="A33" s="2"/>
      <c r="B33" s="3" t="str">
        <f aca="false">IF(A33="","",MONTH(A33))</f>
        <v/>
      </c>
      <c r="C33" s="4"/>
      <c r="D33" s="4"/>
      <c r="E33" s="5"/>
      <c r="F33" s="6"/>
      <c r="G33" s="7" t="str">
        <f aca="false">IF(E33="","",ROUND(E33*F33,2))</f>
        <v/>
      </c>
      <c r="H33" s="7" t="str">
        <f aca="false">IF(E33="","",E33+G33)</f>
        <v/>
      </c>
      <c r="I33" s="4"/>
      <c r="J33" s="4"/>
      <c r="K33" s="4"/>
    </row>
    <row r="34" customFormat="false" ht="15" hidden="false" customHeight="false" outlineLevel="0" collapsed="false">
      <c r="A34" s="2"/>
      <c r="B34" s="3" t="str">
        <f aca="false">IF(A34="","",MONTH(A34))</f>
        <v/>
      </c>
      <c r="C34" s="4"/>
      <c r="D34" s="4"/>
      <c r="E34" s="5"/>
      <c r="F34" s="6"/>
      <c r="G34" s="7" t="str">
        <f aca="false">IF(E34="","",ROUND(E34*F34,2))</f>
        <v/>
      </c>
      <c r="H34" s="7" t="str">
        <f aca="false">IF(E34="","",E34+G34)</f>
        <v/>
      </c>
      <c r="I34" s="4"/>
      <c r="J34" s="4"/>
      <c r="K34" s="4"/>
    </row>
    <row r="35" customFormat="false" ht="15" hidden="false" customHeight="false" outlineLevel="0" collapsed="false">
      <c r="A35" s="2"/>
      <c r="B35" s="3" t="str">
        <f aca="false">IF(A35="","",MONTH(A35))</f>
        <v/>
      </c>
      <c r="C35" s="4"/>
      <c r="D35" s="4"/>
      <c r="E35" s="5"/>
      <c r="F35" s="6"/>
      <c r="G35" s="7" t="str">
        <f aca="false">IF(E35="","",ROUND(E35*F35,2))</f>
        <v/>
      </c>
      <c r="H35" s="7" t="str">
        <f aca="false">IF(E35="","",E35+G35)</f>
        <v/>
      </c>
      <c r="I35" s="4"/>
      <c r="J35" s="4"/>
      <c r="K35" s="4"/>
    </row>
    <row r="36" customFormat="false" ht="15" hidden="false" customHeight="false" outlineLevel="0" collapsed="false">
      <c r="A36" s="2"/>
      <c r="B36" s="3" t="str">
        <f aca="false">IF(A36="","",MONTH(A36))</f>
        <v/>
      </c>
      <c r="C36" s="4"/>
      <c r="D36" s="4"/>
      <c r="E36" s="5"/>
      <c r="F36" s="6"/>
      <c r="G36" s="7" t="str">
        <f aca="false">IF(E36="","",ROUND(E36*F36,2))</f>
        <v/>
      </c>
      <c r="H36" s="7" t="str">
        <f aca="false">IF(E36="","",E36+G36)</f>
        <v/>
      </c>
      <c r="I36" s="4"/>
      <c r="J36" s="4"/>
      <c r="K36" s="4"/>
    </row>
    <row r="37" customFormat="false" ht="15" hidden="false" customHeight="false" outlineLevel="0" collapsed="false">
      <c r="A37" s="2"/>
      <c r="B37" s="3" t="str">
        <f aca="false">IF(A37="","",MONTH(A37))</f>
        <v/>
      </c>
      <c r="C37" s="4"/>
      <c r="D37" s="4"/>
      <c r="E37" s="5"/>
      <c r="F37" s="6"/>
      <c r="G37" s="7" t="str">
        <f aca="false">IF(E37="","",ROUND(E37*F37,2))</f>
        <v/>
      </c>
      <c r="H37" s="7" t="str">
        <f aca="false">IF(E37="","",E37+G37)</f>
        <v/>
      </c>
      <c r="I37" s="4"/>
      <c r="J37" s="4"/>
      <c r="K37" s="4"/>
    </row>
    <row r="38" customFormat="false" ht="15" hidden="false" customHeight="false" outlineLevel="0" collapsed="false">
      <c r="A38" s="2"/>
      <c r="B38" s="3" t="str">
        <f aca="false">IF(A38="","",MONTH(A38))</f>
        <v/>
      </c>
      <c r="C38" s="4"/>
      <c r="D38" s="4"/>
      <c r="E38" s="5"/>
      <c r="F38" s="6"/>
      <c r="G38" s="7" t="str">
        <f aca="false">IF(E38="","",ROUND(E38*F38,2))</f>
        <v/>
      </c>
      <c r="H38" s="7" t="str">
        <f aca="false">IF(E38="","",E38+G38)</f>
        <v/>
      </c>
      <c r="I38" s="4"/>
      <c r="J38" s="4"/>
      <c r="K38" s="4"/>
    </row>
    <row r="39" customFormat="false" ht="15" hidden="false" customHeight="false" outlineLevel="0" collapsed="false">
      <c r="A39" s="2"/>
      <c r="B39" s="3" t="str">
        <f aca="false">IF(A39="","",MONTH(A39))</f>
        <v/>
      </c>
      <c r="C39" s="4"/>
      <c r="D39" s="4"/>
      <c r="E39" s="5"/>
      <c r="F39" s="6"/>
      <c r="G39" s="7" t="str">
        <f aca="false">IF(E39="","",ROUND(E39*F39,2))</f>
        <v/>
      </c>
      <c r="H39" s="7" t="str">
        <f aca="false">IF(E39="","",E39+G39)</f>
        <v/>
      </c>
      <c r="I39" s="4"/>
      <c r="J39" s="4"/>
      <c r="K39" s="4"/>
    </row>
    <row r="40" customFormat="false" ht="15" hidden="false" customHeight="false" outlineLevel="0" collapsed="false">
      <c r="A40" s="2"/>
      <c r="B40" s="3" t="str">
        <f aca="false">IF(A40="","",MONTH(A40))</f>
        <v/>
      </c>
      <c r="C40" s="4"/>
      <c r="D40" s="4"/>
      <c r="E40" s="5"/>
      <c r="F40" s="6"/>
      <c r="G40" s="7" t="str">
        <f aca="false">IF(E40="","",ROUND(E40*F40,2))</f>
        <v/>
      </c>
      <c r="H40" s="7" t="str">
        <f aca="false">IF(E40="","",E40+G40)</f>
        <v/>
      </c>
      <c r="I40" s="4"/>
      <c r="J40" s="4"/>
      <c r="K40" s="4"/>
    </row>
    <row r="41" customFormat="false" ht="15" hidden="false" customHeight="false" outlineLevel="0" collapsed="false">
      <c r="A41" s="2"/>
      <c r="B41" s="3" t="str">
        <f aca="false">IF(A41="","",MONTH(A41))</f>
        <v/>
      </c>
      <c r="C41" s="4"/>
      <c r="D41" s="4"/>
      <c r="E41" s="5"/>
      <c r="F41" s="6"/>
      <c r="G41" s="7" t="str">
        <f aca="false">IF(E41="","",ROUND(E41*F41,2))</f>
        <v/>
      </c>
      <c r="H41" s="7" t="str">
        <f aca="false">IF(E41="","",E41+G41)</f>
        <v/>
      </c>
      <c r="I41" s="4"/>
      <c r="J41" s="4"/>
      <c r="K41" s="4"/>
    </row>
    <row r="42" customFormat="false" ht="15" hidden="false" customHeight="false" outlineLevel="0" collapsed="false">
      <c r="A42" s="2"/>
      <c r="B42" s="3" t="str">
        <f aca="false">IF(A42="","",MONTH(A42))</f>
        <v/>
      </c>
      <c r="C42" s="4"/>
      <c r="D42" s="4"/>
      <c r="E42" s="5"/>
      <c r="F42" s="6"/>
      <c r="G42" s="7" t="str">
        <f aca="false">IF(E42="","",ROUND(E42*F42,2))</f>
        <v/>
      </c>
      <c r="H42" s="7" t="str">
        <f aca="false">IF(E42="","",E42+G42)</f>
        <v/>
      </c>
      <c r="I42" s="4"/>
      <c r="J42" s="4"/>
      <c r="K42" s="4"/>
    </row>
    <row r="43" customFormat="false" ht="15" hidden="false" customHeight="false" outlineLevel="0" collapsed="false">
      <c r="A43" s="2"/>
      <c r="B43" s="3" t="str">
        <f aca="false">IF(A43="","",MONTH(A43))</f>
        <v/>
      </c>
      <c r="C43" s="4"/>
      <c r="D43" s="4"/>
      <c r="E43" s="5"/>
      <c r="F43" s="6"/>
      <c r="G43" s="7" t="str">
        <f aca="false">IF(E43="","",ROUND(E43*F43,2))</f>
        <v/>
      </c>
      <c r="H43" s="7" t="str">
        <f aca="false">IF(E43="","",E43+G43)</f>
        <v/>
      </c>
      <c r="I43" s="4"/>
      <c r="J43" s="4"/>
      <c r="K43" s="4"/>
    </row>
    <row r="44" customFormat="false" ht="15" hidden="false" customHeight="false" outlineLevel="0" collapsed="false">
      <c r="A44" s="2"/>
      <c r="B44" s="3" t="str">
        <f aca="false">IF(A44="","",MONTH(A44))</f>
        <v/>
      </c>
      <c r="C44" s="4"/>
      <c r="D44" s="4"/>
      <c r="E44" s="5"/>
      <c r="F44" s="6"/>
      <c r="G44" s="7" t="str">
        <f aca="false">IF(E44="","",ROUND(E44*F44,2))</f>
        <v/>
      </c>
      <c r="H44" s="7" t="str">
        <f aca="false">IF(E44="","",E44+G44)</f>
        <v/>
      </c>
      <c r="I44" s="4"/>
      <c r="J44" s="4"/>
      <c r="K44" s="4"/>
    </row>
    <row r="45" customFormat="false" ht="15" hidden="false" customHeight="false" outlineLevel="0" collapsed="false">
      <c r="A45" s="2"/>
      <c r="B45" s="3" t="str">
        <f aca="false">IF(A45="","",MONTH(A45))</f>
        <v/>
      </c>
      <c r="C45" s="4"/>
      <c r="D45" s="4"/>
      <c r="E45" s="5"/>
      <c r="F45" s="6"/>
      <c r="G45" s="7" t="str">
        <f aca="false">IF(E45="","",ROUND(E45*F45,2))</f>
        <v/>
      </c>
      <c r="H45" s="7" t="str">
        <f aca="false">IF(E45="","",E45+G45)</f>
        <v/>
      </c>
      <c r="I45" s="4"/>
      <c r="J45" s="4"/>
      <c r="K45" s="4"/>
    </row>
    <row r="46" customFormat="false" ht="15" hidden="false" customHeight="false" outlineLevel="0" collapsed="false">
      <c r="A46" s="2"/>
      <c r="B46" s="3" t="str">
        <f aca="false">IF(A46="","",MONTH(A46))</f>
        <v/>
      </c>
      <c r="C46" s="4"/>
      <c r="D46" s="4"/>
      <c r="E46" s="5"/>
      <c r="F46" s="6"/>
      <c r="G46" s="7" t="str">
        <f aca="false">IF(E46="","",ROUND(E46*F46,2))</f>
        <v/>
      </c>
      <c r="H46" s="7" t="str">
        <f aca="false">IF(E46="","",E46+G46)</f>
        <v/>
      </c>
      <c r="I46" s="4"/>
      <c r="J46" s="4"/>
      <c r="K46" s="4"/>
    </row>
    <row r="47" customFormat="false" ht="15" hidden="false" customHeight="false" outlineLevel="0" collapsed="false">
      <c r="A47" s="2"/>
      <c r="B47" s="3" t="str">
        <f aca="false">IF(A47="","",MONTH(A47))</f>
        <v/>
      </c>
      <c r="C47" s="4"/>
      <c r="D47" s="4"/>
      <c r="E47" s="5"/>
      <c r="F47" s="6"/>
      <c r="G47" s="7" t="str">
        <f aca="false">IF(E47="","",ROUND(E47*F47,2))</f>
        <v/>
      </c>
      <c r="H47" s="7" t="str">
        <f aca="false">IF(E47="","",E47+G47)</f>
        <v/>
      </c>
      <c r="I47" s="4"/>
      <c r="J47" s="4"/>
      <c r="K47" s="4"/>
    </row>
    <row r="48" customFormat="false" ht="15" hidden="false" customHeight="false" outlineLevel="0" collapsed="false">
      <c r="A48" s="2"/>
      <c r="B48" s="3" t="str">
        <f aca="false">IF(A48="","",MONTH(A48))</f>
        <v/>
      </c>
      <c r="C48" s="4"/>
      <c r="D48" s="4"/>
      <c r="E48" s="5"/>
      <c r="F48" s="6"/>
      <c r="G48" s="7" t="str">
        <f aca="false">IF(E48="","",ROUND(E48*F48,2))</f>
        <v/>
      </c>
      <c r="H48" s="7" t="str">
        <f aca="false">IF(E48="","",E48+G48)</f>
        <v/>
      </c>
      <c r="I48" s="4"/>
      <c r="J48" s="4"/>
      <c r="K48" s="4"/>
    </row>
    <row r="49" customFormat="false" ht="15" hidden="false" customHeight="false" outlineLevel="0" collapsed="false">
      <c r="A49" s="2"/>
      <c r="B49" s="3" t="str">
        <f aca="false">IF(A49="","",MONTH(A49))</f>
        <v/>
      </c>
      <c r="C49" s="4"/>
      <c r="D49" s="4"/>
      <c r="E49" s="5"/>
      <c r="F49" s="6"/>
      <c r="G49" s="7" t="str">
        <f aca="false">IF(E49="","",ROUND(E49*F49,2))</f>
        <v/>
      </c>
      <c r="H49" s="7" t="str">
        <f aca="false">IF(E49="","",E49+G49)</f>
        <v/>
      </c>
      <c r="I49" s="4"/>
      <c r="J49" s="4"/>
      <c r="K49" s="4"/>
    </row>
    <row r="50" customFormat="false" ht="15" hidden="false" customHeight="false" outlineLevel="0" collapsed="false">
      <c r="A50" s="2"/>
      <c r="B50" s="3" t="str">
        <f aca="false">IF(A50="","",MONTH(A50))</f>
        <v/>
      </c>
      <c r="C50" s="4"/>
      <c r="D50" s="4"/>
      <c r="E50" s="5"/>
      <c r="F50" s="6"/>
      <c r="G50" s="7" t="str">
        <f aca="false">IF(E50="","",ROUND(E50*F50,2))</f>
        <v/>
      </c>
      <c r="H50" s="7" t="str">
        <f aca="false">IF(E50="","",E50+G50)</f>
        <v/>
      </c>
      <c r="I50" s="4"/>
      <c r="J50" s="4"/>
      <c r="K50" s="4"/>
    </row>
    <row r="51" customFormat="false" ht="15" hidden="false" customHeight="false" outlineLevel="0" collapsed="false">
      <c r="A51" s="2"/>
      <c r="B51" s="3" t="str">
        <f aca="false">IF(A51="","",MONTH(A51))</f>
        <v/>
      </c>
      <c r="C51" s="4"/>
      <c r="D51" s="4"/>
      <c r="E51" s="5"/>
      <c r="F51" s="6"/>
      <c r="G51" s="7" t="str">
        <f aca="false">IF(E51="","",ROUND(E51*F51,2))</f>
        <v/>
      </c>
      <c r="H51" s="7" t="str">
        <f aca="false">IF(E51="","",E51+G51)</f>
        <v/>
      </c>
      <c r="I51" s="4"/>
      <c r="J51" s="4"/>
      <c r="K51" s="4"/>
    </row>
    <row r="52" customFormat="false" ht="15" hidden="false" customHeight="false" outlineLevel="0" collapsed="false">
      <c r="A52" s="2"/>
      <c r="B52" s="3" t="str">
        <f aca="false">IF(A52="","",MONTH(A52))</f>
        <v/>
      </c>
      <c r="C52" s="4"/>
      <c r="D52" s="4"/>
      <c r="E52" s="5"/>
      <c r="F52" s="6"/>
      <c r="G52" s="7" t="str">
        <f aca="false">IF(E52="","",ROUND(E52*F52,2))</f>
        <v/>
      </c>
      <c r="H52" s="7" t="str">
        <f aca="false">IF(E52="","",E52+G52)</f>
        <v/>
      </c>
      <c r="I52" s="4"/>
      <c r="J52" s="4"/>
      <c r="K52" s="4"/>
    </row>
    <row r="53" customFormat="false" ht="15" hidden="false" customHeight="false" outlineLevel="0" collapsed="false">
      <c r="A53" s="2"/>
      <c r="B53" s="3" t="str">
        <f aca="false">IF(A53="","",MONTH(A53))</f>
        <v/>
      </c>
      <c r="C53" s="4"/>
      <c r="D53" s="4"/>
      <c r="E53" s="5"/>
      <c r="F53" s="6"/>
      <c r="G53" s="7" t="str">
        <f aca="false">IF(E53="","",ROUND(E53*F53,2))</f>
        <v/>
      </c>
      <c r="H53" s="7" t="str">
        <f aca="false">IF(E53="","",E53+G53)</f>
        <v/>
      </c>
      <c r="I53" s="4"/>
      <c r="J53" s="4"/>
      <c r="K53" s="4"/>
    </row>
    <row r="54" customFormat="false" ht="15" hidden="false" customHeight="false" outlineLevel="0" collapsed="false">
      <c r="A54" s="2"/>
      <c r="B54" s="3" t="str">
        <f aca="false">IF(A54="","",MONTH(A54))</f>
        <v/>
      </c>
      <c r="C54" s="4"/>
      <c r="D54" s="4"/>
      <c r="E54" s="5"/>
      <c r="F54" s="6"/>
      <c r="G54" s="7" t="str">
        <f aca="false">IF(E54="","",ROUND(E54*F54,2))</f>
        <v/>
      </c>
      <c r="H54" s="7" t="str">
        <f aca="false">IF(E54="","",E54+G54)</f>
        <v/>
      </c>
      <c r="I54" s="4"/>
      <c r="J54" s="4"/>
      <c r="K54" s="4"/>
    </row>
    <row r="55" customFormat="false" ht="15" hidden="false" customHeight="false" outlineLevel="0" collapsed="false">
      <c r="A55" s="2"/>
      <c r="B55" s="3" t="str">
        <f aca="false">IF(A55="","",MONTH(A55))</f>
        <v/>
      </c>
      <c r="C55" s="4"/>
      <c r="D55" s="4"/>
      <c r="E55" s="5"/>
      <c r="F55" s="6"/>
      <c r="G55" s="7" t="str">
        <f aca="false">IF(E55="","",ROUND(E55*F55,2))</f>
        <v/>
      </c>
      <c r="H55" s="7" t="str">
        <f aca="false">IF(E55="","",E55+G55)</f>
        <v/>
      </c>
      <c r="I55" s="4"/>
      <c r="J55" s="4"/>
      <c r="K55" s="4"/>
    </row>
    <row r="56" customFormat="false" ht="15" hidden="false" customHeight="false" outlineLevel="0" collapsed="false">
      <c r="A56" s="2"/>
      <c r="B56" s="3" t="str">
        <f aca="false">IF(A56="","",MONTH(A56))</f>
        <v/>
      </c>
      <c r="C56" s="4"/>
      <c r="D56" s="4"/>
      <c r="E56" s="5"/>
      <c r="F56" s="6"/>
      <c r="G56" s="7" t="str">
        <f aca="false">IF(E56="","",ROUND(E56*F56,2))</f>
        <v/>
      </c>
      <c r="H56" s="7" t="str">
        <f aca="false">IF(E56="","",E56+G56)</f>
        <v/>
      </c>
      <c r="I56" s="4"/>
      <c r="J56" s="4"/>
      <c r="K56" s="4"/>
    </row>
    <row r="57" customFormat="false" ht="15" hidden="false" customHeight="false" outlineLevel="0" collapsed="false">
      <c r="A57" s="2"/>
      <c r="B57" s="3" t="str">
        <f aca="false">IF(A57="","",MONTH(A57))</f>
        <v/>
      </c>
      <c r="C57" s="4"/>
      <c r="D57" s="4"/>
      <c r="E57" s="5"/>
      <c r="F57" s="6"/>
      <c r="G57" s="7" t="str">
        <f aca="false">IF(E57="","",ROUND(E57*F57,2))</f>
        <v/>
      </c>
      <c r="H57" s="7" t="str">
        <f aca="false">IF(E57="","",E57+G57)</f>
        <v/>
      </c>
      <c r="I57" s="4"/>
      <c r="J57" s="4"/>
      <c r="K57" s="4"/>
    </row>
    <row r="58" customFormat="false" ht="15" hidden="false" customHeight="false" outlineLevel="0" collapsed="false">
      <c r="A58" s="2"/>
      <c r="B58" s="3" t="str">
        <f aca="false">IF(A58="","",MONTH(A58))</f>
        <v/>
      </c>
      <c r="C58" s="4"/>
      <c r="D58" s="4"/>
      <c r="E58" s="5"/>
      <c r="F58" s="6"/>
      <c r="G58" s="7" t="str">
        <f aca="false">IF(E58="","",ROUND(E58*F58,2))</f>
        <v/>
      </c>
      <c r="H58" s="7" t="str">
        <f aca="false">IF(E58="","",E58+G58)</f>
        <v/>
      </c>
      <c r="I58" s="4"/>
      <c r="J58" s="4"/>
      <c r="K58" s="4"/>
    </row>
    <row r="59" customFormat="false" ht="15" hidden="false" customHeight="false" outlineLevel="0" collapsed="false">
      <c r="A59" s="2"/>
      <c r="B59" s="3" t="str">
        <f aca="false">IF(A59="","",MONTH(A59))</f>
        <v/>
      </c>
      <c r="C59" s="4"/>
      <c r="D59" s="4"/>
      <c r="E59" s="5"/>
      <c r="F59" s="6"/>
      <c r="G59" s="7" t="str">
        <f aca="false">IF(E59="","",ROUND(E59*F59,2))</f>
        <v/>
      </c>
      <c r="H59" s="7" t="str">
        <f aca="false">IF(E59="","",E59+G59)</f>
        <v/>
      </c>
      <c r="I59" s="4"/>
      <c r="J59" s="4"/>
      <c r="K59" s="4"/>
    </row>
    <row r="60" customFormat="false" ht="15" hidden="false" customHeight="false" outlineLevel="0" collapsed="false">
      <c r="A60" s="2"/>
      <c r="B60" s="3" t="str">
        <f aca="false">IF(A60="","",MONTH(A60))</f>
        <v/>
      </c>
      <c r="C60" s="4"/>
      <c r="D60" s="4"/>
      <c r="E60" s="5"/>
      <c r="F60" s="6"/>
      <c r="G60" s="7" t="str">
        <f aca="false">IF(E60="","",ROUND(E60*F60,2))</f>
        <v/>
      </c>
      <c r="H60" s="7" t="str">
        <f aca="false">IF(E60="","",E60+G60)</f>
        <v/>
      </c>
      <c r="I60" s="4"/>
      <c r="J60" s="4"/>
      <c r="K60" s="4"/>
    </row>
    <row r="61" customFormat="false" ht="15" hidden="false" customHeight="false" outlineLevel="0" collapsed="false">
      <c r="A61" s="2"/>
      <c r="B61" s="3" t="str">
        <f aca="false">IF(A61="","",MONTH(A61))</f>
        <v/>
      </c>
      <c r="C61" s="4"/>
      <c r="D61" s="4"/>
      <c r="E61" s="5"/>
      <c r="F61" s="6"/>
      <c r="G61" s="7" t="str">
        <f aca="false">IF(E61="","",ROUND(E61*F61,2))</f>
        <v/>
      </c>
      <c r="H61" s="7" t="str">
        <f aca="false">IF(E61="","",E61+G61)</f>
        <v/>
      </c>
      <c r="I61" s="4"/>
      <c r="J61" s="4"/>
      <c r="K61" s="4"/>
    </row>
    <row r="62" customFormat="false" ht="15" hidden="false" customHeight="false" outlineLevel="0" collapsed="false">
      <c r="A62" s="2"/>
      <c r="B62" s="3" t="str">
        <f aca="false">IF(A62="","",MONTH(A62))</f>
        <v/>
      </c>
      <c r="C62" s="4"/>
      <c r="D62" s="4"/>
      <c r="E62" s="5"/>
      <c r="F62" s="6"/>
      <c r="G62" s="7" t="str">
        <f aca="false">IF(E62="","",ROUND(E62*F62,2))</f>
        <v/>
      </c>
      <c r="H62" s="7" t="str">
        <f aca="false">IF(E62="","",E62+G62)</f>
        <v/>
      </c>
      <c r="I62" s="4"/>
      <c r="J62" s="4"/>
      <c r="K62" s="4"/>
    </row>
    <row r="63" customFormat="false" ht="15" hidden="false" customHeight="false" outlineLevel="0" collapsed="false">
      <c r="A63" s="2"/>
      <c r="B63" s="3" t="str">
        <f aca="false">IF(A63="","",MONTH(A63))</f>
        <v/>
      </c>
      <c r="C63" s="4"/>
      <c r="D63" s="4"/>
      <c r="E63" s="5"/>
      <c r="F63" s="6"/>
      <c r="G63" s="7" t="str">
        <f aca="false">IF(E63="","",ROUND(E63*F63,2))</f>
        <v/>
      </c>
      <c r="H63" s="7" t="str">
        <f aca="false">IF(E63="","",E63+G63)</f>
        <v/>
      </c>
      <c r="I63" s="4"/>
      <c r="J63" s="4"/>
      <c r="K63" s="4"/>
    </row>
    <row r="64" customFormat="false" ht="15" hidden="false" customHeight="false" outlineLevel="0" collapsed="false">
      <c r="A64" s="2"/>
      <c r="B64" s="3" t="str">
        <f aca="false">IF(A64="","",MONTH(A64))</f>
        <v/>
      </c>
      <c r="C64" s="4"/>
      <c r="D64" s="4"/>
      <c r="E64" s="5"/>
      <c r="F64" s="6"/>
      <c r="G64" s="7" t="str">
        <f aca="false">IF(E64="","",ROUND(E64*F64,2))</f>
        <v/>
      </c>
      <c r="H64" s="7" t="str">
        <f aca="false">IF(E64="","",E64+G64)</f>
        <v/>
      </c>
      <c r="I64" s="4"/>
      <c r="J64" s="4"/>
      <c r="K64" s="4"/>
    </row>
    <row r="65" customFormat="false" ht="15" hidden="false" customHeight="false" outlineLevel="0" collapsed="false">
      <c r="A65" s="2"/>
      <c r="B65" s="3" t="str">
        <f aca="false">IF(A65="","",MONTH(A65))</f>
        <v/>
      </c>
      <c r="C65" s="4"/>
      <c r="D65" s="4"/>
      <c r="E65" s="5"/>
      <c r="F65" s="6"/>
      <c r="G65" s="7" t="str">
        <f aca="false">IF(E65="","",ROUND(E65*F65,2))</f>
        <v/>
      </c>
      <c r="H65" s="7" t="str">
        <f aca="false">IF(E65="","",E65+G65)</f>
        <v/>
      </c>
      <c r="I65" s="4"/>
      <c r="J65" s="4"/>
      <c r="K65" s="4"/>
    </row>
    <row r="66" customFormat="false" ht="15" hidden="false" customHeight="false" outlineLevel="0" collapsed="false">
      <c r="A66" s="2"/>
      <c r="B66" s="3" t="str">
        <f aca="false">IF(A66="","",MONTH(A66))</f>
        <v/>
      </c>
      <c r="C66" s="4"/>
      <c r="D66" s="4"/>
      <c r="E66" s="5"/>
      <c r="F66" s="6"/>
      <c r="G66" s="7" t="str">
        <f aca="false">IF(E66="","",ROUND(E66*F66,2))</f>
        <v/>
      </c>
      <c r="H66" s="7" t="str">
        <f aca="false">IF(E66="","",E66+G66)</f>
        <v/>
      </c>
      <c r="I66" s="4"/>
      <c r="J66" s="4"/>
      <c r="K66" s="4"/>
    </row>
    <row r="67" customFormat="false" ht="15" hidden="false" customHeight="false" outlineLevel="0" collapsed="false">
      <c r="A67" s="2"/>
      <c r="B67" s="3" t="str">
        <f aca="false">IF(A67="","",MONTH(A67))</f>
        <v/>
      </c>
      <c r="C67" s="4"/>
      <c r="D67" s="4"/>
      <c r="E67" s="5"/>
      <c r="F67" s="6"/>
      <c r="G67" s="7" t="str">
        <f aca="false">IF(E67="","",ROUND(E67*F67,2))</f>
        <v/>
      </c>
      <c r="H67" s="7" t="str">
        <f aca="false">IF(E67="","",E67+G67)</f>
        <v/>
      </c>
      <c r="I67" s="4"/>
      <c r="J67" s="4"/>
      <c r="K67" s="4"/>
    </row>
    <row r="68" customFormat="false" ht="15" hidden="false" customHeight="false" outlineLevel="0" collapsed="false">
      <c r="A68" s="2"/>
      <c r="B68" s="3" t="str">
        <f aca="false">IF(A68="","",MONTH(A68))</f>
        <v/>
      </c>
      <c r="C68" s="4"/>
      <c r="D68" s="4"/>
      <c r="E68" s="5"/>
      <c r="F68" s="6"/>
      <c r="G68" s="7" t="str">
        <f aca="false">IF(E68="","",ROUND(E68*F68,2))</f>
        <v/>
      </c>
      <c r="H68" s="7" t="str">
        <f aca="false">IF(E68="","",E68+G68)</f>
        <v/>
      </c>
      <c r="I68" s="4"/>
      <c r="J68" s="4"/>
      <c r="K68" s="4"/>
    </row>
    <row r="69" customFormat="false" ht="15" hidden="false" customHeight="false" outlineLevel="0" collapsed="false">
      <c r="A69" s="2"/>
      <c r="B69" s="3" t="str">
        <f aca="false">IF(A69="","",MONTH(A69))</f>
        <v/>
      </c>
      <c r="C69" s="4"/>
      <c r="D69" s="4"/>
      <c r="E69" s="5"/>
      <c r="F69" s="6"/>
      <c r="G69" s="7" t="str">
        <f aca="false">IF(E69="","",ROUND(E69*F69,2))</f>
        <v/>
      </c>
      <c r="H69" s="7" t="str">
        <f aca="false">IF(E69="","",E69+G69)</f>
        <v/>
      </c>
      <c r="I69" s="4"/>
      <c r="J69" s="4"/>
      <c r="K69" s="4"/>
    </row>
    <row r="70" customFormat="false" ht="15" hidden="false" customHeight="false" outlineLevel="0" collapsed="false">
      <c r="A70" s="2"/>
      <c r="B70" s="3" t="str">
        <f aca="false">IF(A70="","",MONTH(A70))</f>
        <v/>
      </c>
      <c r="C70" s="4"/>
      <c r="D70" s="4"/>
      <c r="E70" s="5"/>
      <c r="F70" s="6"/>
      <c r="G70" s="7" t="str">
        <f aca="false">IF(E70="","",ROUND(E70*F70,2))</f>
        <v/>
      </c>
      <c r="H70" s="7" t="str">
        <f aca="false">IF(E70="","",E70+G70)</f>
        <v/>
      </c>
      <c r="I70" s="4"/>
      <c r="J70" s="4"/>
      <c r="K70" s="4"/>
    </row>
    <row r="71" customFormat="false" ht="15" hidden="false" customHeight="false" outlineLevel="0" collapsed="false">
      <c r="A71" s="2"/>
      <c r="B71" s="3" t="str">
        <f aca="false">IF(A71="","",MONTH(A71))</f>
        <v/>
      </c>
      <c r="C71" s="4"/>
      <c r="D71" s="4"/>
      <c r="E71" s="5"/>
      <c r="F71" s="6"/>
      <c r="G71" s="7" t="str">
        <f aca="false">IF(E71="","",ROUND(E71*F71,2))</f>
        <v/>
      </c>
      <c r="H71" s="7" t="str">
        <f aca="false">IF(E71="","",E71+G71)</f>
        <v/>
      </c>
      <c r="I71" s="4"/>
      <c r="J71" s="4"/>
      <c r="K71" s="4"/>
    </row>
    <row r="72" customFormat="false" ht="15" hidden="false" customHeight="false" outlineLevel="0" collapsed="false">
      <c r="A72" s="2"/>
      <c r="B72" s="3" t="str">
        <f aca="false">IF(A72="","",MONTH(A72))</f>
        <v/>
      </c>
      <c r="C72" s="4"/>
      <c r="D72" s="4"/>
      <c r="E72" s="5"/>
      <c r="F72" s="6"/>
      <c r="G72" s="7" t="str">
        <f aca="false">IF(E72="","",ROUND(E72*F72,2))</f>
        <v/>
      </c>
      <c r="H72" s="7" t="str">
        <f aca="false">IF(E72="","",E72+G72)</f>
        <v/>
      </c>
      <c r="I72" s="4"/>
      <c r="J72" s="4"/>
      <c r="K72" s="4"/>
    </row>
    <row r="73" customFormat="false" ht="15" hidden="false" customHeight="false" outlineLevel="0" collapsed="false">
      <c r="A73" s="2"/>
      <c r="B73" s="3" t="str">
        <f aca="false">IF(A73="","",MONTH(A73))</f>
        <v/>
      </c>
      <c r="C73" s="4"/>
      <c r="D73" s="4"/>
      <c r="E73" s="5"/>
      <c r="F73" s="6"/>
      <c r="G73" s="7" t="str">
        <f aca="false">IF(E73="","",ROUND(E73*F73,2))</f>
        <v/>
      </c>
      <c r="H73" s="7" t="str">
        <f aca="false">IF(E73="","",E73+G73)</f>
        <v/>
      </c>
      <c r="I73" s="4"/>
      <c r="J73" s="4"/>
      <c r="K73" s="4"/>
    </row>
    <row r="74" customFormat="false" ht="15" hidden="false" customHeight="false" outlineLevel="0" collapsed="false">
      <c r="A74" s="2"/>
      <c r="B74" s="3" t="str">
        <f aca="false">IF(A74="","",MONTH(A74))</f>
        <v/>
      </c>
      <c r="C74" s="4"/>
      <c r="D74" s="4"/>
      <c r="E74" s="5"/>
      <c r="F74" s="6"/>
      <c r="G74" s="7" t="str">
        <f aca="false">IF(E74="","",ROUND(E74*F74,2))</f>
        <v/>
      </c>
      <c r="H74" s="7" t="str">
        <f aca="false">IF(E74="","",E74+G74)</f>
        <v/>
      </c>
      <c r="I74" s="4"/>
      <c r="J74" s="4"/>
      <c r="K74" s="4"/>
    </row>
    <row r="75" customFormat="false" ht="15" hidden="false" customHeight="false" outlineLevel="0" collapsed="false">
      <c r="A75" s="2"/>
      <c r="B75" s="3" t="str">
        <f aca="false">IF(A75="","",MONTH(A75))</f>
        <v/>
      </c>
      <c r="C75" s="4"/>
      <c r="D75" s="4"/>
      <c r="E75" s="5"/>
      <c r="F75" s="6"/>
      <c r="G75" s="7" t="str">
        <f aca="false">IF(E75="","",ROUND(E75*F75,2))</f>
        <v/>
      </c>
      <c r="H75" s="7" t="str">
        <f aca="false">IF(E75="","",E75+G75)</f>
        <v/>
      </c>
      <c r="I75" s="4"/>
      <c r="J75" s="4"/>
      <c r="K75" s="4"/>
    </row>
    <row r="76" customFormat="false" ht="15" hidden="false" customHeight="false" outlineLevel="0" collapsed="false">
      <c r="A76" s="2"/>
      <c r="B76" s="3" t="str">
        <f aca="false">IF(A76="","",MONTH(A76))</f>
        <v/>
      </c>
      <c r="C76" s="4"/>
      <c r="D76" s="4"/>
      <c r="E76" s="5"/>
      <c r="F76" s="6"/>
      <c r="G76" s="7" t="str">
        <f aca="false">IF(E76="","",ROUND(E76*F76,2))</f>
        <v/>
      </c>
      <c r="H76" s="7" t="str">
        <f aca="false">IF(E76="","",E76+G76)</f>
        <v/>
      </c>
      <c r="I76" s="4"/>
      <c r="J76" s="4"/>
      <c r="K76" s="4"/>
    </row>
    <row r="77" customFormat="false" ht="15" hidden="false" customHeight="false" outlineLevel="0" collapsed="false">
      <c r="A77" s="2"/>
      <c r="B77" s="3" t="str">
        <f aca="false">IF(A77="","",MONTH(A77))</f>
        <v/>
      </c>
      <c r="C77" s="4"/>
      <c r="D77" s="4"/>
      <c r="E77" s="5"/>
      <c r="F77" s="6"/>
      <c r="G77" s="7" t="str">
        <f aca="false">IF(E77="","",ROUND(E77*F77,2))</f>
        <v/>
      </c>
      <c r="H77" s="7" t="str">
        <f aca="false">IF(E77="","",E77+G77)</f>
        <v/>
      </c>
      <c r="I77" s="4"/>
      <c r="J77" s="4"/>
      <c r="K77" s="4"/>
    </row>
    <row r="78" customFormat="false" ht="15" hidden="false" customHeight="false" outlineLevel="0" collapsed="false">
      <c r="A78" s="2"/>
      <c r="B78" s="3" t="str">
        <f aca="false">IF(A78="","",MONTH(A78))</f>
        <v/>
      </c>
      <c r="C78" s="4"/>
      <c r="D78" s="4"/>
      <c r="E78" s="5"/>
      <c r="F78" s="6"/>
      <c r="G78" s="7" t="str">
        <f aca="false">IF(E78="","",ROUND(E78*F78,2))</f>
        <v/>
      </c>
      <c r="H78" s="7" t="str">
        <f aca="false">IF(E78="","",E78+G78)</f>
        <v/>
      </c>
      <c r="I78" s="4"/>
      <c r="J78" s="4"/>
      <c r="K78" s="4"/>
    </row>
    <row r="79" customFormat="false" ht="15" hidden="false" customHeight="false" outlineLevel="0" collapsed="false">
      <c r="A79" s="2"/>
      <c r="B79" s="3" t="str">
        <f aca="false">IF(A79="","",MONTH(A79))</f>
        <v/>
      </c>
      <c r="C79" s="4"/>
      <c r="D79" s="4"/>
      <c r="E79" s="5"/>
      <c r="F79" s="6"/>
      <c r="G79" s="7" t="str">
        <f aca="false">IF(E79="","",ROUND(E79*F79,2))</f>
        <v/>
      </c>
      <c r="H79" s="7" t="str">
        <f aca="false">IF(E79="","",E79+G79)</f>
        <v/>
      </c>
      <c r="I79" s="4"/>
      <c r="J79" s="4"/>
      <c r="K79" s="4"/>
    </row>
    <row r="80" customFormat="false" ht="15" hidden="false" customHeight="false" outlineLevel="0" collapsed="false">
      <c r="A80" s="2"/>
      <c r="B80" s="3" t="str">
        <f aca="false">IF(A80="","",MONTH(A80))</f>
        <v/>
      </c>
      <c r="C80" s="4"/>
      <c r="D80" s="4"/>
      <c r="E80" s="5"/>
      <c r="F80" s="6"/>
      <c r="G80" s="7" t="str">
        <f aca="false">IF(E80="","",ROUND(E80*F80,2))</f>
        <v/>
      </c>
      <c r="H80" s="7" t="str">
        <f aca="false">IF(E80="","",E80+G80)</f>
        <v/>
      </c>
      <c r="I80" s="4"/>
      <c r="J80" s="4"/>
      <c r="K80" s="4"/>
    </row>
    <row r="81" customFormat="false" ht="15" hidden="false" customHeight="false" outlineLevel="0" collapsed="false">
      <c r="A81" s="2"/>
      <c r="B81" s="3" t="str">
        <f aca="false">IF(A81="","",MONTH(A81))</f>
        <v/>
      </c>
      <c r="C81" s="4"/>
      <c r="D81" s="4"/>
      <c r="E81" s="5"/>
      <c r="F81" s="6"/>
      <c r="G81" s="7" t="str">
        <f aca="false">IF(E81="","",ROUND(E81*F81,2))</f>
        <v/>
      </c>
      <c r="H81" s="7" t="str">
        <f aca="false">IF(E81="","",E81+G81)</f>
        <v/>
      </c>
      <c r="I81" s="4"/>
      <c r="J81" s="4"/>
      <c r="K81" s="4"/>
    </row>
    <row r="82" customFormat="false" ht="15" hidden="false" customHeight="false" outlineLevel="0" collapsed="false">
      <c r="A82" s="2"/>
      <c r="B82" s="3" t="str">
        <f aca="false">IF(A82="","",MONTH(A82))</f>
        <v/>
      </c>
      <c r="C82" s="4"/>
      <c r="D82" s="4"/>
      <c r="E82" s="5"/>
      <c r="F82" s="6"/>
      <c r="G82" s="7" t="str">
        <f aca="false">IF(E82="","",ROUND(E82*F82,2))</f>
        <v/>
      </c>
      <c r="H82" s="7" t="str">
        <f aca="false">IF(E82="","",E82+G82)</f>
        <v/>
      </c>
      <c r="I82" s="4"/>
      <c r="J82" s="4"/>
      <c r="K82" s="4"/>
    </row>
    <row r="83" customFormat="false" ht="15" hidden="false" customHeight="false" outlineLevel="0" collapsed="false">
      <c r="A83" s="2"/>
      <c r="B83" s="3" t="str">
        <f aca="false">IF(A83="","",MONTH(A83))</f>
        <v/>
      </c>
      <c r="C83" s="4"/>
      <c r="D83" s="4"/>
      <c r="E83" s="5"/>
      <c r="F83" s="6"/>
      <c r="G83" s="7" t="str">
        <f aca="false">IF(E83="","",ROUND(E83*F83,2))</f>
        <v/>
      </c>
      <c r="H83" s="7" t="str">
        <f aca="false">IF(E83="","",E83+G83)</f>
        <v/>
      </c>
      <c r="I83" s="4"/>
      <c r="J83" s="4"/>
      <c r="K83" s="4"/>
    </row>
    <row r="84" customFormat="false" ht="15" hidden="false" customHeight="false" outlineLevel="0" collapsed="false">
      <c r="A84" s="2"/>
      <c r="B84" s="3" t="str">
        <f aca="false">IF(A84="","",MONTH(A84))</f>
        <v/>
      </c>
      <c r="C84" s="4"/>
      <c r="D84" s="4"/>
      <c r="E84" s="5"/>
      <c r="F84" s="6"/>
      <c r="G84" s="7" t="str">
        <f aca="false">IF(E84="","",ROUND(E84*F84,2))</f>
        <v/>
      </c>
      <c r="H84" s="7" t="str">
        <f aca="false">IF(E84="","",E84+G84)</f>
        <v/>
      </c>
      <c r="I84" s="4"/>
      <c r="J84" s="4"/>
      <c r="K84" s="4"/>
    </row>
    <row r="85" customFormat="false" ht="15" hidden="false" customHeight="false" outlineLevel="0" collapsed="false">
      <c r="A85" s="2"/>
      <c r="B85" s="3" t="str">
        <f aca="false">IF(A85="","",MONTH(A85))</f>
        <v/>
      </c>
      <c r="C85" s="4"/>
      <c r="D85" s="4"/>
      <c r="E85" s="5"/>
      <c r="F85" s="6"/>
      <c r="G85" s="7" t="str">
        <f aca="false">IF(E85="","",ROUND(E85*F85,2))</f>
        <v/>
      </c>
      <c r="H85" s="7" t="str">
        <f aca="false">IF(E85="","",E85+G85)</f>
        <v/>
      </c>
      <c r="I85" s="4"/>
      <c r="J85" s="4"/>
      <c r="K85" s="4"/>
    </row>
    <row r="86" customFormat="false" ht="15" hidden="false" customHeight="false" outlineLevel="0" collapsed="false">
      <c r="A86" s="2"/>
      <c r="B86" s="3" t="str">
        <f aca="false">IF(A86="","",MONTH(A86))</f>
        <v/>
      </c>
      <c r="C86" s="4"/>
      <c r="D86" s="4"/>
      <c r="E86" s="5"/>
      <c r="F86" s="6"/>
      <c r="G86" s="7" t="str">
        <f aca="false">IF(E86="","",ROUND(E86*F86,2))</f>
        <v/>
      </c>
      <c r="H86" s="7" t="str">
        <f aca="false">IF(E86="","",E86+G86)</f>
        <v/>
      </c>
      <c r="I86" s="4"/>
      <c r="J86" s="4"/>
      <c r="K86" s="4"/>
    </row>
    <row r="87" customFormat="false" ht="15" hidden="false" customHeight="false" outlineLevel="0" collapsed="false">
      <c r="A87" s="2"/>
      <c r="B87" s="3" t="str">
        <f aca="false">IF(A87="","",MONTH(A87))</f>
        <v/>
      </c>
      <c r="C87" s="4"/>
      <c r="D87" s="4"/>
      <c r="E87" s="5"/>
      <c r="F87" s="6"/>
      <c r="G87" s="7" t="str">
        <f aca="false">IF(E87="","",ROUND(E87*F87,2))</f>
        <v/>
      </c>
      <c r="H87" s="7" t="str">
        <f aca="false">IF(E87="","",E87+G87)</f>
        <v/>
      </c>
      <c r="I87" s="4"/>
      <c r="J87" s="4"/>
      <c r="K87" s="4"/>
    </row>
    <row r="88" customFormat="false" ht="15" hidden="false" customHeight="false" outlineLevel="0" collapsed="false">
      <c r="A88" s="2"/>
      <c r="B88" s="3" t="str">
        <f aca="false">IF(A88="","",MONTH(A88))</f>
        <v/>
      </c>
      <c r="C88" s="4"/>
      <c r="D88" s="4"/>
      <c r="E88" s="5"/>
      <c r="F88" s="6"/>
      <c r="G88" s="7" t="str">
        <f aca="false">IF(E88="","",ROUND(E88*F88,2))</f>
        <v/>
      </c>
      <c r="H88" s="7" t="str">
        <f aca="false">IF(E88="","",E88+G88)</f>
        <v/>
      </c>
      <c r="I88" s="4"/>
      <c r="J88" s="4"/>
      <c r="K88" s="4"/>
    </row>
    <row r="89" customFormat="false" ht="15" hidden="false" customHeight="false" outlineLevel="0" collapsed="false">
      <c r="A89" s="2"/>
      <c r="B89" s="3" t="str">
        <f aca="false">IF(A89="","",MONTH(A89))</f>
        <v/>
      </c>
      <c r="C89" s="4"/>
      <c r="D89" s="4"/>
      <c r="E89" s="5"/>
      <c r="F89" s="6"/>
      <c r="G89" s="7" t="str">
        <f aca="false">IF(E89="","",ROUND(E89*F89,2))</f>
        <v/>
      </c>
      <c r="H89" s="7" t="str">
        <f aca="false">IF(E89="","",E89+G89)</f>
        <v/>
      </c>
      <c r="I89" s="4"/>
      <c r="J89" s="4"/>
      <c r="K89" s="4"/>
    </row>
    <row r="90" customFormat="false" ht="15" hidden="false" customHeight="false" outlineLevel="0" collapsed="false">
      <c r="A90" s="2"/>
      <c r="B90" s="3" t="str">
        <f aca="false">IF(A90="","",MONTH(A90))</f>
        <v/>
      </c>
      <c r="C90" s="4"/>
      <c r="D90" s="4"/>
      <c r="E90" s="5"/>
      <c r="F90" s="6"/>
      <c r="G90" s="7" t="str">
        <f aca="false">IF(E90="","",ROUND(E90*F90,2))</f>
        <v/>
      </c>
      <c r="H90" s="7" t="str">
        <f aca="false">IF(E90="","",E90+G90)</f>
        <v/>
      </c>
      <c r="I90" s="4"/>
      <c r="J90" s="4"/>
      <c r="K90" s="4"/>
    </row>
    <row r="91" customFormat="false" ht="15" hidden="false" customHeight="false" outlineLevel="0" collapsed="false">
      <c r="A91" s="2"/>
      <c r="B91" s="3" t="str">
        <f aca="false">IF(A91="","",MONTH(A91))</f>
        <v/>
      </c>
      <c r="C91" s="4"/>
      <c r="D91" s="4"/>
      <c r="E91" s="5"/>
      <c r="F91" s="6"/>
      <c r="G91" s="7" t="str">
        <f aca="false">IF(E91="","",ROUND(E91*F91,2))</f>
        <v/>
      </c>
      <c r="H91" s="7" t="str">
        <f aca="false">IF(E91="","",E91+G91)</f>
        <v/>
      </c>
      <c r="I91" s="4"/>
      <c r="J91" s="4"/>
      <c r="K91" s="4"/>
    </row>
    <row r="92" customFormat="false" ht="15" hidden="false" customHeight="false" outlineLevel="0" collapsed="false">
      <c r="A92" s="2"/>
      <c r="B92" s="3" t="str">
        <f aca="false">IF(A92="","",MONTH(A92))</f>
        <v/>
      </c>
      <c r="C92" s="4"/>
      <c r="D92" s="4"/>
      <c r="E92" s="5"/>
      <c r="F92" s="6"/>
      <c r="G92" s="7" t="str">
        <f aca="false">IF(E92="","",ROUND(E92*F92,2))</f>
        <v/>
      </c>
      <c r="H92" s="7" t="str">
        <f aca="false">IF(E92="","",E92+G92)</f>
        <v/>
      </c>
      <c r="I92" s="4"/>
      <c r="J92" s="4"/>
      <c r="K92" s="4"/>
    </row>
    <row r="93" customFormat="false" ht="15" hidden="false" customHeight="false" outlineLevel="0" collapsed="false">
      <c r="A93" s="2"/>
      <c r="B93" s="3" t="str">
        <f aca="false">IF(A93="","",MONTH(A93))</f>
        <v/>
      </c>
      <c r="C93" s="4"/>
      <c r="D93" s="4"/>
      <c r="E93" s="5"/>
      <c r="F93" s="6"/>
      <c r="G93" s="7" t="str">
        <f aca="false">IF(E93="","",ROUND(E93*F93,2))</f>
        <v/>
      </c>
      <c r="H93" s="7" t="str">
        <f aca="false">IF(E93="","",E93+G93)</f>
        <v/>
      </c>
      <c r="I93" s="4"/>
      <c r="J93" s="4"/>
      <c r="K93" s="4"/>
    </row>
    <row r="94" customFormat="false" ht="15" hidden="false" customHeight="false" outlineLevel="0" collapsed="false">
      <c r="A94" s="2"/>
      <c r="B94" s="3" t="str">
        <f aca="false">IF(A94="","",MONTH(A94))</f>
        <v/>
      </c>
      <c r="C94" s="4"/>
      <c r="D94" s="4"/>
      <c r="E94" s="5"/>
      <c r="F94" s="6"/>
      <c r="G94" s="7" t="str">
        <f aca="false">IF(E94="","",ROUND(E94*F94,2))</f>
        <v/>
      </c>
      <c r="H94" s="7" t="str">
        <f aca="false">IF(E94="","",E94+G94)</f>
        <v/>
      </c>
      <c r="I94" s="4"/>
      <c r="J94" s="4"/>
      <c r="K94" s="4"/>
    </row>
    <row r="95" customFormat="false" ht="15" hidden="false" customHeight="false" outlineLevel="0" collapsed="false">
      <c r="A95" s="2"/>
      <c r="B95" s="3" t="str">
        <f aca="false">IF(A95="","",MONTH(A95))</f>
        <v/>
      </c>
      <c r="C95" s="4"/>
      <c r="D95" s="4"/>
      <c r="E95" s="5"/>
      <c r="F95" s="6"/>
      <c r="G95" s="7" t="str">
        <f aca="false">IF(E95="","",ROUND(E95*F95,2))</f>
        <v/>
      </c>
      <c r="H95" s="7" t="str">
        <f aca="false">IF(E95="","",E95+G95)</f>
        <v/>
      </c>
      <c r="I95" s="4"/>
      <c r="J95" s="4"/>
      <c r="K95" s="4"/>
    </row>
    <row r="96" customFormat="false" ht="15" hidden="false" customHeight="false" outlineLevel="0" collapsed="false">
      <c r="A96" s="2"/>
      <c r="B96" s="3" t="str">
        <f aca="false">IF(A96="","",MONTH(A96))</f>
        <v/>
      </c>
      <c r="C96" s="4"/>
      <c r="D96" s="4"/>
      <c r="E96" s="5"/>
      <c r="F96" s="6"/>
      <c r="G96" s="7" t="str">
        <f aca="false">IF(E96="","",ROUND(E96*F96,2))</f>
        <v/>
      </c>
      <c r="H96" s="7" t="str">
        <f aca="false">IF(E96="","",E96+G96)</f>
        <v/>
      </c>
      <c r="I96" s="4"/>
      <c r="J96" s="4"/>
      <c r="K96" s="4"/>
    </row>
    <row r="97" customFormat="false" ht="15" hidden="false" customHeight="false" outlineLevel="0" collapsed="false">
      <c r="A97" s="2"/>
      <c r="B97" s="3" t="str">
        <f aca="false">IF(A97="","",MONTH(A97))</f>
        <v/>
      </c>
      <c r="C97" s="4"/>
      <c r="D97" s="4"/>
      <c r="E97" s="5"/>
      <c r="F97" s="6"/>
      <c r="G97" s="7" t="str">
        <f aca="false">IF(E97="","",ROUND(E97*F97,2))</f>
        <v/>
      </c>
      <c r="H97" s="7" t="str">
        <f aca="false">IF(E97="","",E97+G97)</f>
        <v/>
      </c>
      <c r="I97" s="4"/>
      <c r="J97" s="4"/>
      <c r="K97" s="4"/>
    </row>
    <row r="98" customFormat="false" ht="15" hidden="false" customHeight="false" outlineLevel="0" collapsed="false">
      <c r="A98" s="2"/>
      <c r="B98" s="3" t="str">
        <f aca="false">IF(A98="","",MONTH(A98))</f>
        <v/>
      </c>
      <c r="C98" s="4"/>
      <c r="D98" s="4"/>
      <c r="E98" s="5"/>
      <c r="F98" s="6"/>
      <c r="G98" s="7" t="str">
        <f aca="false">IF(E98="","",ROUND(E98*F98,2))</f>
        <v/>
      </c>
      <c r="H98" s="7" t="str">
        <f aca="false">IF(E98="","",E98+G98)</f>
        <v/>
      </c>
      <c r="I98" s="4"/>
      <c r="J98" s="4"/>
      <c r="K98" s="4"/>
    </row>
    <row r="99" customFormat="false" ht="15" hidden="false" customHeight="false" outlineLevel="0" collapsed="false">
      <c r="A99" s="2"/>
      <c r="B99" s="3" t="str">
        <f aca="false">IF(A99="","",MONTH(A99))</f>
        <v/>
      </c>
      <c r="C99" s="4"/>
      <c r="D99" s="4"/>
      <c r="E99" s="5"/>
      <c r="F99" s="6"/>
      <c r="G99" s="7" t="str">
        <f aca="false">IF(E99="","",ROUND(E99*F99,2))</f>
        <v/>
      </c>
      <c r="H99" s="7" t="str">
        <f aca="false">IF(E99="","",E99+G99)</f>
        <v/>
      </c>
      <c r="I99" s="4"/>
      <c r="J99" s="4"/>
      <c r="K99" s="4"/>
    </row>
    <row r="100" customFormat="false" ht="15" hidden="false" customHeight="false" outlineLevel="0" collapsed="false">
      <c r="A100" s="2"/>
      <c r="B100" s="3" t="str">
        <f aca="false">IF(A100="","",MONTH(A100))</f>
        <v/>
      </c>
      <c r="C100" s="4"/>
      <c r="D100" s="4"/>
      <c r="E100" s="5"/>
      <c r="F100" s="6"/>
      <c r="G100" s="7" t="str">
        <f aca="false">IF(E100="","",ROUND(E100*F100,2))</f>
        <v/>
      </c>
      <c r="H100" s="7" t="str">
        <f aca="false">IF(E100="","",E100+G100)</f>
        <v/>
      </c>
      <c r="I100" s="4"/>
      <c r="J100" s="4"/>
      <c r="K100" s="4"/>
    </row>
    <row r="101" customFormat="false" ht="15" hidden="false" customHeight="false" outlineLevel="0" collapsed="false">
      <c r="A101" s="2"/>
      <c r="B101" s="3" t="str">
        <f aca="false">IF(A101="","",MONTH(A101))</f>
        <v/>
      </c>
      <c r="C101" s="4"/>
      <c r="D101" s="4"/>
      <c r="E101" s="5"/>
      <c r="F101" s="6"/>
      <c r="G101" s="7" t="str">
        <f aca="false">IF(E101="","",ROUND(E101*F101,2))</f>
        <v/>
      </c>
      <c r="H101" s="7" t="str">
        <f aca="false">IF(E101="","",E101+G101)</f>
        <v/>
      </c>
      <c r="I101" s="4"/>
      <c r="J101" s="4"/>
      <c r="K101" s="4"/>
    </row>
    <row r="102" customFormat="false" ht="15" hidden="false" customHeight="false" outlineLevel="0" collapsed="false">
      <c r="A102" s="2"/>
      <c r="B102" s="3" t="str">
        <f aca="false">IF(A102="","",MONTH(A102))</f>
        <v/>
      </c>
      <c r="C102" s="4"/>
      <c r="D102" s="4"/>
      <c r="E102" s="5"/>
      <c r="F102" s="6"/>
      <c r="G102" s="7" t="str">
        <f aca="false">IF(E102="","",ROUND(E102*F102,2))</f>
        <v/>
      </c>
      <c r="H102" s="7" t="str">
        <f aca="false">IF(E102="","",E102+G102)</f>
        <v/>
      </c>
      <c r="I102" s="4"/>
      <c r="J102" s="4"/>
      <c r="K102" s="4"/>
    </row>
    <row r="103" customFormat="false" ht="15" hidden="false" customHeight="false" outlineLevel="0" collapsed="false">
      <c r="A103" s="2"/>
      <c r="B103" s="3" t="str">
        <f aca="false">IF(A103="","",MONTH(A103))</f>
        <v/>
      </c>
      <c r="C103" s="4"/>
      <c r="D103" s="4"/>
      <c r="E103" s="5"/>
      <c r="F103" s="6"/>
      <c r="G103" s="7" t="str">
        <f aca="false">IF(E103="","",ROUND(E103*F103,2))</f>
        <v/>
      </c>
      <c r="H103" s="7" t="str">
        <f aca="false">IF(E103="","",E103+G103)</f>
        <v/>
      </c>
      <c r="I103" s="4"/>
      <c r="J103" s="4"/>
      <c r="K103" s="4"/>
    </row>
    <row r="104" customFormat="false" ht="15" hidden="false" customHeight="false" outlineLevel="0" collapsed="false">
      <c r="A104" s="2"/>
      <c r="B104" s="3" t="str">
        <f aca="false">IF(A104="","",MONTH(A104))</f>
        <v/>
      </c>
      <c r="C104" s="4"/>
      <c r="D104" s="4"/>
      <c r="E104" s="5"/>
      <c r="F104" s="6"/>
      <c r="G104" s="7" t="str">
        <f aca="false">IF(E104="","",ROUND(E104*F104,2))</f>
        <v/>
      </c>
      <c r="H104" s="7" t="str">
        <f aca="false">IF(E104="","",E104+G104)</f>
        <v/>
      </c>
      <c r="I104" s="4"/>
      <c r="J104" s="4"/>
      <c r="K104" s="4"/>
    </row>
    <row r="105" customFormat="false" ht="15" hidden="false" customHeight="false" outlineLevel="0" collapsed="false">
      <c r="A105" s="2"/>
      <c r="B105" s="3" t="str">
        <f aca="false">IF(A105="","",MONTH(A105))</f>
        <v/>
      </c>
      <c r="C105" s="4"/>
      <c r="D105" s="4"/>
      <c r="E105" s="5"/>
      <c r="F105" s="6"/>
      <c r="G105" s="7" t="str">
        <f aca="false">IF(E105="","",ROUND(E105*F105,2))</f>
        <v/>
      </c>
      <c r="H105" s="7" t="str">
        <f aca="false">IF(E105="","",E105+G105)</f>
        <v/>
      </c>
      <c r="I105" s="4"/>
      <c r="J105" s="4"/>
      <c r="K105" s="4"/>
    </row>
    <row r="106" customFormat="false" ht="15" hidden="false" customHeight="false" outlineLevel="0" collapsed="false">
      <c r="A106" s="2"/>
      <c r="B106" s="3" t="str">
        <f aca="false">IF(A106="","",MONTH(A106))</f>
        <v/>
      </c>
      <c r="C106" s="4"/>
      <c r="D106" s="4"/>
      <c r="E106" s="5"/>
      <c r="F106" s="6"/>
      <c r="G106" s="7" t="str">
        <f aca="false">IF(E106="","",ROUND(E106*F106,2))</f>
        <v/>
      </c>
      <c r="H106" s="7" t="str">
        <f aca="false">IF(E106="","",E106+G106)</f>
        <v/>
      </c>
      <c r="I106" s="4"/>
      <c r="J106" s="4"/>
      <c r="K106" s="4"/>
    </row>
    <row r="107" customFormat="false" ht="15" hidden="false" customHeight="false" outlineLevel="0" collapsed="false">
      <c r="A107" s="2"/>
      <c r="B107" s="3" t="str">
        <f aca="false">IF(A107="","",MONTH(A107))</f>
        <v/>
      </c>
      <c r="C107" s="4"/>
      <c r="D107" s="4"/>
      <c r="E107" s="5"/>
      <c r="F107" s="6"/>
      <c r="G107" s="7" t="str">
        <f aca="false">IF(E107="","",ROUND(E107*F107,2))</f>
        <v/>
      </c>
      <c r="H107" s="7" t="str">
        <f aca="false">IF(E107="","",E107+G107)</f>
        <v/>
      </c>
      <c r="I107" s="4"/>
      <c r="J107" s="4"/>
      <c r="K107" s="4"/>
    </row>
    <row r="108" customFormat="false" ht="15" hidden="false" customHeight="false" outlineLevel="0" collapsed="false">
      <c r="A108" s="2"/>
      <c r="B108" s="3" t="str">
        <f aca="false">IF(A108="","",MONTH(A108))</f>
        <v/>
      </c>
      <c r="C108" s="4"/>
      <c r="D108" s="4"/>
      <c r="E108" s="5"/>
      <c r="F108" s="6"/>
      <c r="G108" s="7" t="str">
        <f aca="false">IF(E108="","",ROUND(E108*F108,2))</f>
        <v/>
      </c>
      <c r="H108" s="7" t="str">
        <f aca="false">IF(E108="","",E108+G108)</f>
        <v/>
      </c>
      <c r="I108" s="4"/>
      <c r="J108" s="4"/>
      <c r="K108" s="4"/>
    </row>
    <row r="109" customFormat="false" ht="15" hidden="false" customHeight="false" outlineLevel="0" collapsed="false">
      <c r="A109" s="2"/>
      <c r="B109" s="3" t="str">
        <f aca="false">IF(A109="","",MONTH(A109))</f>
        <v/>
      </c>
      <c r="C109" s="4"/>
      <c r="D109" s="4"/>
      <c r="E109" s="5"/>
      <c r="F109" s="6"/>
      <c r="G109" s="7" t="str">
        <f aca="false">IF(E109="","",ROUND(E109*F109,2))</f>
        <v/>
      </c>
      <c r="H109" s="7" t="str">
        <f aca="false">IF(E109="","",E109+G109)</f>
        <v/>
      </c>
      <c r="I109" s="4"/>
      <c r="J109" s="4"/>
      <c r="K109" s="4"/>
    </row>
    <row r="110" customFormat="false" ht="15" hidden="false" customHeight="false" outlineLevel="0" collapsed="false">
      <c r="A110" s="2"/>
      <c r="B110" s="3" t="str">
        <f aca="false">IF(A110="","",MONTH(A110))</f>
        <v/>
      </c>
      <c r="C110" s="4"/>
      <c r="D110" s="4"/>
      <c r="E110" s="5"/>
      <c r="F110" s="6"/>
      <c r="G110" s="7" t="str">
        <f aca="false">IF(E110="","",ROUND(E110*F110,2))</f>
        <v/>
      </c>
      <c r="H110" s="7" t="str">
        <f aca="false">IF(E110="","",E110+G110)</f>
        <v/>
      </c>
      <c r="I110" s="4"/>
      <c r="J110" s="4"/>
      <c r="K110" s="4"/>
    </row>
    <row r="111" customFormat="false" ht="15" hidden="false" customHeight="false" outlineLevel="0" collapsed="false">
      <c r="A111" s="2"/>
      <c r="B111" s="3" t="str">
        <f aca="false">IF(A111="","",MONTH(A111))</f>
        <v/>
      </c>
      <c r="C111" s="4"/>
      <c r="D111" s="4"/>
      <c r="E111" s="5"/>
      <c r="F111" s="6"/>
      <c r="G111" s="7" t="str">
        <f aca="false">IF(E111="","",ROUND(E111*F111,2))</f>
        <v/>
      </c>
      <c r="H111" s="7" t="str">
        <f aca="false">IF(E111="","",E111+G111)</f>
        <v/>
      </c>
      <c r="I111" s="4"/>
      <c r="J111" s="4"/>
      <c r="K111" s="4"/>
    </row>
    <row r="112" customFormat="false" ht="15" hidden="false" customHeight="false" outlineLevel="0" collapsed="false">
      <c r="A112" s="2"/>
      <c r="B112" s="3" t="str">
        <f aca="false">IF(A112="","",MONTH(A112))</f>
        <v/>
      </c>
      <c r="C112" s="4"/>
      <c r="D112" s="4"/>
      <c r="E112" s="5"/>
      <c r="F112" s="6"/>
      <c r="G112" s="7" t="str">
        <f aca="false">IF(E112="","",ROUND(E112*F112,2))</f>
        <v/>
      </c>
      <c r="H112" s="7" t="str">
        <f aca="false">IF(E112="","",E112+G112)</f>
        <v/>
      </c>
      <c r="I112" s="4"/>
      <c r="J112" s="4"/>
      <c r="K112" s="4"/>
    </row>
    <row r="113" customFormat="false" ht="15" hidden="false" customHeight="false" outlineLevel="0" collapsed="false">
      <c r="A113" s="2"/>
      <c r="B113" s="3" t="str">
        <f aca="false">IF(A113="","",MONTH(A113))</f>
        <v/>
      </c>
      <c r="C113" s="4"/>
      <c r="D113" s="4"/>
      <c r="E113" s="5"/>
      <c r="F113" s="6"/>
      <c r="G113" s="7" t="str">
        <f aca="false">IF(E113="","",ROUND(E113*F113,2))</f>
        <v/>
      </c>
      <c r="H113" s="7" t="str">
        <f aca="false">IF(E113="","",E113+G113)</f>
        <v/>
      </c>
      <c r="I113" s="4"/>
      <c r="J113" s="4"/>
      <c r="K113" s="4"/>
    </row>
    <row r="114" customFormat="false" ht="15" hidden="false" customHeight="false" outlineLevel="0" collapsed="false">
      <c r="A114" s="2"/>
      <c r="B114" s="3" t="str">
        <f aca="false">IF(A114="","",MONTH(A114))</f>
        <v/>
      </c>
      <c r="C114" s="4"/>
      <c r="D114" s="4"/>
      <c r="E114" s="5"/>
      <c r="F114" s="6"/>
      <c r="G114" s="7" t="str">
        <f aca="false">IF(E114="","",ROUND(E114*F114,2))</f>
        <v/>
      </c>
      <c r="H114" s="7" t="str">
        <f aca="false">IF(E114="","",E114+G114)</f>
        <v/>
      </c>
      <c r="I114" s="4"/>
      <c r="J114" s="4"/>
      <c r="K114" s="4"/>
    </row>
    <row r="115" customFormat="false" ht="15" hidden="false" customHeight="false" outlineLevel="0" collapsed="false">
      <c r="A115" s="2"/>
      <c r="B115" s="3" t="str">
        <f aca="false">IF(A115="","",MONTH(A115))</f>
        <v/>
      </c>
      <c r="C115" s="4"/>
      <c r="D115" s="4"/>
      <c r="E115" s="5"/>
      <c r="F115" s="6"/>
      <c r="G115" s="7" t="str">
        <f aca="false">IF(E115="","",ROUND(E115*F115,2))</f>
        <v/>
      </c>
      <c r="H115" s="7" t="str">
        <f aca="false">IF(E115="","",E115+G115)</f>
        <v/>
      </c>
      <c r="I115" s="4"/>
      <c r="J115" s="4"/>
      <c r="K115" s="4"/>
    </row>
    <row r="116" customFormat="false" ht="15" hidden="false" customHeight="false" outlineLevel="0" collapsed="false">
      <c r="A116" s="2"/>
      <c r="B116" s="3" t="str">
        <f aca="false">IF(A116="","",MONTH(A116))</f>
        <v/>
      </c>
      <c r="C116" s="4"/>
      <c r="D116" s="4"/>
      <c r="E116" s="5"/>
      <c r="F116" s="6"/>
      <c r="G116" s="7" t="str">
        <f aca="false">IF(E116="","",ROUND(E116*F116,2))</f>
        <v/>
      </c>
      <c r="H116" s="7" t="str">
        <f aca="false">IF(E116="","",E116+G116)</f>
        <v/>
      </c>
      <c r="I116" s="4"/>
      <c r="J116" s="4"/>
      <c r="K116" s="4"/>
    </row>
    <row r="117" customFormat="false" ht="15" hidden="false" customHeight="false" outlineLevel="0" collapsed="false">
      <c r="A117" s="2"/>
      <c r="B117" s="3" t="str">
        <f aca="false">IF(A117="","",MONTH(A117))</f>
        <v/>
      </c>
      <c r="C117" s="4"/>
      <c r="D117" s="4"/>
      <c r="E117" s="5"/>
      <c r="F117" s="6"/>
      <c r="G117" s="7" t="str">
        <f aca="false">IF(E117="","",ROUND(E117*F117,2))</f>
        <v/>
      </c>
      <c r="H117" s="7" t="str">
        <f aca="false">IF(E117="","",E117+G117)</f>
        <v/>
      </c>
      <c r="I117" s="4"/>
      <c r="J117" s="4"/>
      <c r="K117" s="4"/>
    </row>
    <row r="118" customFormat="false" ht="15" hidden="false" customHeight="false" outlineLevel="0" collapsed="false">
      <c r="A118" s="2"/>
      <c r="B118" s="3" t="str">
        <f aca="false">IF(A118="","",MONTH(A118))</f>
        <v/>
      </c>
      <c r="C118" s="4"/>
      <c r="D118" s="4"/>
      <c r="E118" s="5"/>
      <c r="F118" s="6"/>
      <c r="G118" s="7" t="str">
        <f aca="false">IF(E118="","",ROUND(E118*F118,2))</f>
        <v/>
      </c>
      <c r="H118" s="7" t="str">
        <f aca="false">IF(E118="","",E118+G118)</f>
        <v/>
      </c>
      <c r="I118" s="4"/>
      <c r="J118" s="4"/>
      <c r="K118" s="4"/>
    </row>
    <row r="119" customFormat="false" ht="15" hidden="false" customHeight="false" outlineLevel="0" collapsed="false">
      <c r="A119" s="2"/>
      <c r="B119" s="3" t="str">
        <f aca="false">IF(A119="","",MONTH(A119))</f>
        <v/>
      </c>
      <c r="C119" s="4"/>
      <c r="D119" s="4"/>
      <c r="E119" s="5"/>
      <c r="F119" s="6"/>
      <c r="G119" s="7" t="str">
        <f aca="false">IF(E119="","",ROUND(E119*F119,2))</f>
        <v/>
      </c>
      <c r="H119" s="7" t="str">
        <f aca="false">IF(E119="","",E119+G119)</f>
        <v/>
      </c>
      <c r="I119" s="4"/>
      <c r="J119" s="4"/>
      <c r="K119" s="4"/>
    </row>
    <row r="120" customFormat="false" ht="15" hidden="false" customHeight="false" outlineLevel="0" collapsed="false">
      <c r="A120" s="2"/>
      <c r="B120" s="3" t="str">
        <f aca="false">IF(A120="","",MONTH(A120))</f>
        <v/>
      </c>
      <c r="C120" s="4"/>
      <c r="D120" s="4"/>
      <c r="E120" s="5"/>
      <c r="F120" s="6"/>
      <c r="G120" s="7" t="str">
        <f aca="false">IF(E120="","",ROUND(E120*F120,2))</f>
        <v/>
      </c>
      <c r="H120" s="7" t="str">
        <f aca="false">IF(E120="","",E120+G120)</f>
        <v/>
      </c>
      <c r="I120" s="4"/>
      <c r="J120" s="4"/>
      <c r="K120" s="4"/>
    </row>
    <row r="121" customFormat="false" ht="15" hidden="false" customHeight="false" outlineLevel="0" collapsed="false">
      <c r="A121" s="2"/>
      <c r="B121" s="3" t="str">
        <f aca="false">IF(A121="","",MONTH(A121))</f>
        <v/>
      </c>
      <c r="C121" s="4"/>
      <c r="D121" s="4"/>
      <c r="E121" s="5"/>
      <c r="F121" s="6"/>
      <c r="G121" s="7" t="str">
        <f aca="false">IF(E121="","",ROUND(E121*F121,2))</f>
        <v/>
      </c>
      <c r="H121" s="7" t="str">
        <f aca="false">IF(E121="","",E121+G121)</f>
        <v/>
      </c>
      <c r="I121" s="4"/>
      <c r="J121" s="4"/>
      <c r="K121" s="4"/>
    </row>
    <row r="122" customFormat="false" ht="15" hidden="false" customHeight="false" outlineLevel="0" collapsed="false">
      <c r="A122" s="2"/>
      <c r="B122" s="3" t="str">
        <f aca="false">IF(A122="","",MONTH(A122))</f>
        <v/>
      </c>
      <c r="C122" s="4"/>
      <c r="D122" s="4"/>
      <c r="E122" s="5"/>
      <c r="F122" s="6"/>
      <c r="G122" s="7" t="str">
        <f aca="false">IF(E122="","",ROUND(E122*F122,2))</f>
        <v/>
      </c>
      <c r="H122" s="7" t="str">
        <f aca="false">IF(E122="","",E122+G122)</f>
        <v/>
      </c>
      <c r="I122" s="4"/>
      <c r="J122" s="4"/>
      <c r="K122" s="4"/>
    </row>
    <row r="123" customFormat="false" ht="15" hidden="false" customHeight="false" outlineLevel="0" collapsed="false">
      <c r="A123" s="2"/>
      <c r="B123" s="3" t="str">
        <f aca="false">IF(A123="","",MONTH(A123))</f>
        <v/>
      </c>
      <c r="C123" s="4"/>
      <c r="D123" s="4"/>
      <c r="E123" s="5"/>
      <c r="F123" s="6"/>
      <c r="G123" s="7" t="str">
        <f aca="false">IF(E123="","",ROUND(E123*F123,2))</f>
        <v/>
      </c>
      <c r="H123" s="7" t="str">
        <f aca="false">IF(E123="","",E123+G123)</f>
        <v/>
      </c>
      <c r="I123" s="4"/>
      <c r="J123" s="4"/>
      <c r="K123" s="4"/>
    </row>
    <row r="124" customFormat="false" ht="15" hidden="false" customHeight="false" outlineLevel="0" collapsed="false">
      <c r="A124" s="2"/>
      <c r="B124" s="3" t="str">
        <f aca="false">IF(A124="","",MONTH(A124))</f>
        <v/>
      </c>
      <c r="C124" s="4"/>
      <c r="D124" s="4"/>
      <c r="E124" s="5"/>
      <c r="F124" s="6"/>
      <c r="G124" s="7" t="str">
        <f aca="false">IF(E124="","",ROUND(E124*F124,2))</f>
        <v/>
      </c>
      <c r="H124" s="7" t="str">
        <f aca="false">IF(E124="","",E124+G124)</f>
        <v/>
      </c>
      <c r="I124" s="4"/>
      <c r="J124" s="4"/>
      <c r="K124" s="4"/>
    </row>
    <row r="125" customFormat="false" ht="15" hidden="false" customHeight="false" outlineLevel="0" collapsed="false">
      <c r="A125" s="2"/>
      <c r="B125" s="3" t="str">
        <f aca="false">IF(A125="","",MONTH(A125))</f>
        <v/>
      </c>
      <c r="C125" s="4"/>
      <c r="D125" s="4"/>
      <c r="E125" s="5"/>
      <c r="F125" s="6"/>
      <c r="G125" s="7" t="str">
        <f aca="false">IF(E125="","",ROUND(E125*F125,2))</f>
        <v/>
      </c>
      <c r="H125" s="7" t="str">
        <f aca="false">IF(E125="","",E125+G125)</f>
        <v/>
      </c>
      <c r="I125" s="4"/>
      <c r="J125" s="4"/>
      <c r="K125" s="4"/>
    </row>
    <row r="126" customFormat="false" ht="15" hidden="false" customHeight="false" outlineLevel="0" collapsed="false">
      <c r="A126" s="2"/>
      <c r="B126" s="3" t="str">
        <f aca="false">IF(A126="","",MONTH(A126))</f>
        <v/>
      </c>
      <c r="C126" s="4"/>
      <c r="D126" s="4"/>
      <c r="E126" s="5"/>
      <c r="F126" s="6"/>
      <c r="G126" s="7" t="str">
        <f aca="false">IF(E126="","",ROUND(E126*F126,2))</f>
        <v/>
      </c>
      <c r="H126" s="7" t="str">
        <f aca="false">IF(E126="","",E126+G126)</f>
        <v/>
      </c>
      <c r="I126" s="4"/>
      <c r="J126" s="4"/>
      <c r="K126" s="4"/>
    </row>
    <row r="127" customFormat="false" ht="15" hidden="false" customHeight="false" outlineLevel="0" collapsed="false">
      <c r="A127" s="2"/>
      <c r="B127" s="3" t="str">
        <f aca="false">IF(A127="","",MONTH(A127))</f>
        <v/>
      </c>
      <c r="C127" s="4"/>
      <c r="D127" s="4"/>
      <c r="E127" s="5"/>
      <c r="F127" s="6"/>
      <c r="G127" s="7" t="str">
        <f aca="false">IF(E127="","",ROUND(E127*F127,2))</f>
        <v/>
      </c>
      <c r="H127" s="7" t="str">
        <f aca="false">IF(E127="","",E127+G127)</f>
        <v/>
      </c>
      <c r="I127" s="4"/>
      <c r="J127" s="4"/>
      <c r="K127" s="4"/>
    </row>
    <row r="128" customFormat="false" ht="15" hidden="false" customHeight="false" outlineLevel="0" collapsed="false">
      <c r="A128" s="2"/>
      <c r="B128" s="3" t="str">
        <f aca="false">IF(A128="","",MONTH(A128))</f>
        <v/>
      </c>
      <c r="C128" s="4"/>
      <c r="D128" s="4"/>
      <c r="E128" s="5"/>
      <c r="F128" s="6"/>
      <c r="G128" s="7" t="str">
        <f aca="false">IF(E128="","",ROUND(E128*F128,2))</f>
        <v/>
      </c>
      <c r="H128" s="7" t="str">
        <f aca="false">IF(E128="","",E128+G128)</f>
        <v/>
      </c>
      <c r="I128" s="4"/>
      <c r="J128" s="4"/>
      <c r="K128" s="4"/>
    </row>
    <row r="129" customFormat="false" ht="15" hidden="false" customHeight="false" outlineLevel="0" collapsed="false">
      <c r="A129" s="2"/>
      <c r="B129" s="3" t="str">
        <f aca="false">IF(A129="","",MONTH(A129))</f>
        <v/>
      </c>
      <c r="C129" s="4"/>
      <c r="D129" s="4"/>
      <c r="E129" s="5"/>
      <c r="F129" s="6"/>
      <c r="G129" s="7" t="str">
        <f aca="false">IF(E129="","",ROUND(E129*F129,2))</f>
        <v/>
      </c>
      <c r="H129" s="7" t="str">
        <f aca="false">IF(E129="","",E129+G129)</f>
        <v/>
      </c>
      <c r="I129" s="4"/>
      <c r="J129" s="4"/>
      <c r="K129" s="4"/>
    </row>
    <row r="130" customFormat="false" ht="15" hidden="false" customHeight="false" outlineLevel="0" collapsed="false">
      <c r="A130" s="2"/>
      <c r="B130" s="3" t="str">
        <f aca="false">IF(A130="","",MONTH(A130))</f>
        <v/>
      </c>
      <c r="C130" s="4"/>
      <c r="D130" s="4"/>
      <c r="E130" s="5"/>
      <c r="F130" s="6"/>
      <c r="G130" s="7" t="str">
        <f aca="false">IF(E130="","",ROUND(E130*F130,2))</f>
        <v/>
      </c>
      <c r="H130" s="7" t="str">
        <f aca="false">IF(E130="","",E130+G130)</f>
        <v/>
      </c>
      <c r="I130" s="4"/>
      <c r="J130" s="4"/>
      <c r="K130" s="4"/>
    </row>
    <row r="131" customFormat="false" ht="15" hidden="false" customHeight="false" outlineLevel="0" collapsed="false">
      <c r="A131" s="2"/>
      <c r="B131" s="3" t="str">
        <f aca="false">IF(A131="","",MONTH(A131))</f>
        <v/>
      </c>
      <c r="C131" s="4"/>
      <c r="D131" s="4"/>
      <c r="E131" s="5"/>
      <c r="F131" s="6"/>
      <c r="G131" s="7" t="str">
        <f aca="false">IF(E131="","",ROUND(E131*F131,2))</f>
        <v/>
      </c>
      <c r="H131" s="7" t="str">
        <f aca="false">IF(E131="","",E131+G131)</f>
        <v/>
      </c>
      <c r="I131" s="4"/>
      <c r="J131" s="4"/>
      <c r="K131" s="4"/>
    </row>
    <row r="132" customFormat="false" ht="15" hidden="false" customHeight="false" outlineLevel="0" collapsed="false">
      <c r="A132" s="2"/>
      <c r="B132" s="3" t="str">
        <f aca="false">IF(A132="","",MONTH(A132))</f>
        <v/>
      </c>
      <c r="C132" s="4"/>
      <c r="D132" s="4"/>
      <c r="E132" s="5"/>
      <c r="F132" s="6"/>
      <c r="G132" s="7" t="str">
        <f aca="false">IF(E132="","",ROUND(E132*F132,2))</f>
        <v/>
      </c>
      <c r="H132" s="7" t="str">
        <f aca="false">IF(E132="","",E132+G132)</f>
        <v/>
      </c>
      <c r="I132" s="4"/>
      <c r="J132" s="4"/>
      <c r="K132" s="4"/>
    </row>
    <row r="133" customFormat="false" ht="15" hidden="false" customHeight="false" outlineLevel="0" collapsed="false">
      <c r="A133" s="2"/>
      <c r="B133" s="3" t="str">
        <f aca="false">IF(A133="","",MONTH(A133))</f>
        <v/>
      </c>
      <c r="C133" s="4"/>
      <c r="D133" s="4"/>
      <c r="E133" s="5"/>
      <c r="F133" s="6"/>
      <c r="G133" s="7" t="str">
        <f aca="false">IF(E133="","",ROUND(E133*F133,2))</f>
        <v/>
      </c>
      <c r="H133" s="7" t="str">
        <f aca="false">IF(E133="","",E133+G133)</f>
        <v/>
      </c>
      <c r="I133" s="4"/>
      <c r="J133" s="4"/>
      <c r="K133" s="4"/>
    </row>
    <row r="134" customFormat="false" ht="15" hidden="false" customHeight="false" outlineLevel="0" collapsed="false">
      <c r="A134" s="2"/>
      <c r="B134" s="3" t="str">
        <f aca="false">IF(A134="","",MONTH(A134))</f>
        <v/>
      </c>
      <c r="C134" s="4"/>
      <c r="D134" s="4"/>
      <c r="E134" s="5"/>
      <c r="F134" s="6"/>
      <c r="G134" s="7" t="str">
        <f aca="false">IF(E134="","",ROUND(E134*F134,2))</f>
        <v/>
      </c>
      <c r="H134" s="7" t="str">
        <f aca="false">IF(E134="","",E134+G134)</f>
        <v/>
      </c>
      <c r="I134" s="4"/>
      <c r="J134" s="4"/>
      <c r="K134" s="4"/>
    </row>
    <row r="135" customFormat="false" ht="15" hidden="false" customHeight="false" outlineLevel="0" collapsed="false">
      <c r="A135" s="2"/>
      <c r="B135" s="3" t="str">
        <f aca="false">IF(A135="","",MONTH(A135))</f>
        <v/>
      </c>
      <c r="C135" s="4"/>
      <c r="D135" s="4"/>
      <c r="E135" s="5"/>
      <c r="F135" s="6"/>
      <c r="G135" s="7" t="str">
        <f aca="false">IF(E135="","",ROUND(E135*F135,2))</f>
        <v/>
      </c>
      <c r="H135" s="7" t="str">
        <f aca="false">IF(E135="","",E135+G135)</f>
        <v/>
      </c>
      <c r="I135" s="4"/>
      <c r="J135" s="4"/>
      <c r="K135" s="4"/>
    </row>
    <row r="136" customFormat="false" ht="15" hidden="false" customHeight="false" outlineLevel="0" collapsed="false">
      <c r="A136" s="2"/>
      <c r="B136" s="3" t="str">
        <f aca="false">IF(A136="","",MONTH(A136))</f>
        <v/>
      </c>
      <c r="C136" s="4"/>
      <c r="D136" s="4"/>
      <c r="E136" s="5"/>
      <c r="F136" s="6"/>
      <c r="G136" s="7" t="str">
        <f aca="false">IF(E136="","",ROUND(E136*F136,2))</f>
        <v/>
      </c>
      <c r="H136" s="7" t="str">
        <f aca="false">IF(E136="","",E136+G136)</f>
        <v/>
      </c>
      <c r="I136" s="4"/>
      <c r="J136" s="4"/>
      <c r="K136" s="4"/>
    </row>
    <row r="137" customFormat="false" ht="15" hidden="false" customHeight="false" outlineLevel="0" collapsed="false">
      <c r="A137" s="2"/>
      <c r="B137" s="3" t="str">
        <f aca="false">IF(A137="","",MONTH(A137))</f>
        <v/>
      </c>
      <c r="C137" s="4"/>
      <c r="D137" s="4"/>
      <c r="E137" s="5"/>
      <c r="F137" s="6"/>
      <c r="G137" s="7" t="str">
        <f aca="false">IF(E137="","",ROUND(E137*F137,2))</f>
        <v/>
      </c>
      <c r="H137" s="7" t="str">
        <f aca="false">IF(E137="","",E137+G137)</f>
        <v/>
      </c>
      <c r="I137" s="4"/>
      <c r="J137" s="4"/>
      <c r="K137" s="4"/>
    </row>
    <row r="138" customFormat="false" ht="15" hidden="false" customHeight="false" outlineLevel="0" collapsed="false">
      <c r="A138" s="2"/>
      <c r="B138" s="3" t="str">
        <f aca="false">IF(A138="","",MONTH(A138))</f>
        <v/>
      </c>
      <c r="C138" s="4"/>
      <c r="D138" s="4"/>
      <c r="E138" s="5"/>
      <c r="F138" s="6"/>
      <c r="G138" s="7" t="str">
        <f aca="false">IF(E138="","",ROUND(E138*F138,2))</f>
        <v/>
      </c>
      <c r="H138" s="7" t="str">
        <f aca="false">IF(E138="","",E138+G138)</f>
        <v/>
      </c>
      <c r="I138" s="4"/>
      <c r="J138" s="4"/>
      <c r="K138" s="4"/>
    </row>
    <row r="139" customFormat="false" ht="15" hidden="false" customHeight="false" outlineLevel="0" collapsed="false">
      <c r="A139" s="2"/>
      <c r="B139" s="3" t="str">
        <f aca="false">IF(A139="","",MONTH(A139))</f>
        <v/>
      </c>
      <c r="C139" s="4"/>
      <c r="D139" s="4"/>
      <c r="E139" s="5"/>
      <c r="F139" s="6"/>
      <c r="G139" s="7" t="str">
        <f aca="false">IF(E139="","",ROUND(E139*F139,2))</f>
        <v/>
      </c>
      <c r="H139" s="7" t="str">
        <f aca="false">IF(E139="","",E139+G139)</f>
        <v/>
      </c>
      <c r="I139" s="4"/>
      <c r="J139" s="4"/>
      <c r="K139" s="4"/>
    </row>
    <row r="140" customFormat="false" ht="15" hidden="false" customHeight="false" outlineLevel="0" collapsed="false">
      <c r="A140" s="2"/>
      <c r="B140" s="3" t="str">
        <f aca="false">IF(A140="","",MONTH(A140))</f>
        <v/>
      </c>
      <c r="C140" s="4"/>
      <c r="D140" s="4"/>
      <c r="E140" s="5"/>
      <c r="F140" s="6"/>
      <c r="G140" s="7" t="str">
        <f aca="false">IF(E140="","",ROUND(E140*F140,2))</f>
        <v/>
      </c>
      <c r="H140" s="7" t="str">
        <f aca="false">IF(E140="","",E140+G140)</f>
        <v/>
      </c>
      <c r="I140" s="4"/>
      <c r="J140" s="4"/>
      <c r="K140" s="4"/>
    </row>
    <row r="141" customFormat="false" ht="15" hidden="false" customHeight="false" outlineLevel="0" collapsed="false">
      <c r="A141" s="2"/>
      <c r="B141" s="3" t="str">
        <f aca="false">IF(A141="","",MONTH(A141))</f>
        <v/>
      </c>
      <c r="C141" s="4"/>
      <c r="D141" s="4"/>
      <c r="E141" s="5"/>
      <c r="F141" s="6"/>
      <c r="G141" s="7" t="str">
        <f aca="false">IF(E141="","",ROUND(E141*F141,2))</f>
        <v/>
      </c>
      <c r="H141" s="7" t="str">
        <f aca="false">IF(E141="","",E141+G141)</f>
        <v/>
      </c>
      <c r="I141" s="4"/>
      <c r="J141" s="4"/>
      <c r="K141" s="4"/>
    </row>
    <row r="142" customFormat="false" ht="15" hidden="false" customHeight="false" outlineLevel="0" collapsed="false">
      <c r="A142" s="2"/>
      <c r="B142" s="3" t="str">
        <f aca="false">IF(A142="","",MONTH(A142))</f>
        <v/>
      </c>
      <c r="C142" s="4"/>
      <c r="D142" s="4"/>
      <c r="E142" s="5"/>
      <c r="F142" s="6"/>
      <c r="G142" s="7" t="str">
        <f aca="false">IF(E142="","",ROUND(E142*F142,2))</f>
        <v/>
      </c>
      <c r="H142" s="7" t="str">
        <f aca="false">IF(E142="","",E142+G142)</f>
        <v/>
      </c>
      <c r="I142" s="4"/>
      <c r="J142" s="4"/>
      <c r="K142" s="4"/>
    </row>
    <row r="143" customFormat="false" ht="15" hidden="false" customHeight="false" outlineLevel="0" collapsed="false">
      <c r="A143" s="2"/>
      <c r="B143" s="3" t="str">
        <f aca="false">IF(A143="","",MONTH(A143))</f>
        <v/>
      </c>
      <c r="C143" s="4"/>
      <c r="D143" s="4"/>
      <c r="E143" s="5"/>
      <c r="F143" s="6"/>
      <c r="G143" s="7" t="str">
        <f aca="false">IF(E143="","",ROUND(E143*F143,2))</f>
        <v/>
      </c>
      <c r="H143" s="7" t="str">
        <f aca="false">IF(E143="","",E143+G143)</f>
        <v/>
      </c>
      <c r="I143" s="4"/>
      <c r="J143" s="4"/>
      <c r="K143" s="4"/>
    </row>
    <row r="144" customFormat="false" ht="15" hidden="false" customHeight="false" outlineLevel="0" collapsed="false">
      <c r="A144" s="2"/>
      <c r="B144" s="3" t="str">
        <f aca="false">IF(A144="","",MONTH(A144))</f>
        <v/>
      </c>
      <c r="C144" s="4"/>
      <c r="D144" s="4"/>
      <c r="E144" s="5"/>
      <c r="F144" s="6"/>
      <c r="G144" s="7" t="str">
        <f aca="false">IF(E144="","",ROUND(E144*F144,2))</f>
        <v/>
      </c>
      <c r="H144" s="7" t="str">
        <f aca="false">IF(E144="","",E144+G144)</f>
        <v/>
      </c>
      <c r="I144" s="4"/>
      <c r="J144" s="4"/>
      <c r="K144" s="4"/>
    </row>
    <row r="145" customFormat="false" ht="15" hidden="false" customHeight="false" outlineLevel="0" collapsed="false">
      <c r="A145" s="2"/>
      <c r="B145" s="3" t="str">
        <f aca="false">IF(A145="","",MONTH(A145))</f>
        <v/>
      </c>
      <c r="C145" s="4"/>
      <c r="D145" s="4"/>
      <c r="E145" s="5"/>
      <c r="F145" s="6"/>
      <c r="G145" s="7" t="str">
        <f aca="false">IF(E145="","",ROUND(E145*F145,2))</f>
        <v/>
      </c>
      <c r="H145" s="7" t="str">
        <f aca="false">IF(E145="","",E145+G145)</f>
        <v/>
      </c>
      <c r="I145" s="4"/>
      <c r="J145" s="4"/>
      <c r="K145" s="4"/>
    </row>
    <row r="146" customFormat="false" ht="15" hidden="false" customHeight="false" outlineLevel="0" collapsed="false">
      <c r="A146" s="2"/>
      <c r="B146" s="3" t="str">
        <f aca="false">IF(A146="","",MONTH(A146))</f>
        <v/>
      </c>
      <c r="C146" s="4"/>
      <c r="D146" s="4"/>
      <c r="E146" s="5"/>
      <c r="F146" s="6"/>
      <c r="G146" s="7" t="str">
        <f aca="false">IF(E146="","",ROUND(E146*F146,2))</f>
        <v/>
      </c>
      <c r="H146" s="7" t="str">
        <f aca="false">IF(E146="","",E146+G146)</f>
        <v/>
      </c>
      <c r="I146" s="4"/>
      <c r="J146" s="4"/>
      <c r="K146" s="4"/>
    </row>
    <row r="147" customFormat="false" ht="15" hidden="false" customHeight="false" outlineLevel="0" collapsed="false">
      <c r="A147" s="2"/>
      <c r="B147" s="3" t="str">
        <f aca="false">IF(A147="","",MONTH(A147))</f>
        <v/>
      </c>
      <c r="C147" s="4"/>
      <c r="D147" s="4"/>
      <c r="E147" s="5"/>
      <c r="F147" s="6"/>
      <c r="G147" s="7" t="str">
        <f aca="false">IF(E147="","",ROUND(E147*F147,2))</f>
        <v/>
      </c>
      <c r="H147" s="7" t="str">
        <f aca="false">IF(E147="","",E147+G147)</f>
        <v/>
      </c>
      <c r="I147" s="4"/>
      <c r="J147" s="4"/>
      <c r="K147" s="4"/>
    </row>
    <row r="148" customFormat="false" ht="15" hidden="false" customHeight="false" outlineLevel="0" collapsed="false">
      <c r="A148" s="2"/>
      <c r="B148" s="3" t="str">
        <f aca="false">IF(A148="","",MONTH(A148))</f>
        <v/>
      </c>
      <c r="C148" s="4"/>
      <c r="D148" s="4"/>
      <c r="E148" s="5"/>
      <c r="F148" s="6"/>
      <c r="G148" s="7" t="str">
        <f aca="false">IF(E148="","",ROUND(E148*F148,2))</f>
        <v/>
      </c>
      <c r="H148" s="7" t="str">
        <f aca="false">IF(E148="","",E148+G148)</f>
        <v/>
      </c>
      <c r="I148" s="4"/>
      <c r="J148" s="4"/>
      <c r="K148" s="4"/>
    </row>
    <row r="149" customFormat="false" ht="15" hidden="false" customHeight="false" outlineLevel="0" collapsed="false">
      <c r="A149" s="2"/>
      <c r="B149" s="3" t="str">
        <f aca="false">IF(A149="","",MONTH(A149))</f>
        <v/>
      </c>
      <c r="C149" s="4"/>
      <c r="D149" s="4"/>
      <c r="E149" s="5"/>
      <c r="F149" s="6"/>
      <c r="G149" s="7" t="str">
        <f aca="false">IF(E149="","",ROUND(E149*F149,2))</f>
        <v/>
      </c>
      <c r="H149" s="7" t="str">
        <f aca="false">IF(E149="","",E149+G149)</f>
        <v/>
      </c>
      <c r="I149" s="4"/>
      <c r="J149" s="4"/>
      <c r="K149" s="4"/>
    </row>
    <row r="150" customFormat="false" ht="15" hidden="false" customHeight="false" outlineLevel="0" collapsed="false">
      <c r="A150" s="2"/>
      <c r="B150" s="3" t="str">
        <f aca="false">IF(A150="","",MONTH(A150))</f>
        <v/>
      </c>
      <c r="C150" s="4"/>
      <c r="D150" s="4"/>
      <c r="E150" s="5"/>
      <c r="F150" s="6"/>
      <c r="G150" s="7" t="str">
        <f aca="false">IF(E150="","",ROUND(E150*F150,2))</f>
        <v/>
      </c>
      <c r="H150" s="7" t="str">
        <f aca="false">IF(E150="","",E150+G150)</f>
        <v/>
      </c>
      <c r="I150" s="4"/>
      <c r="J150" s="4"/>
      <c r="K150" s="4"/>
    </row>
    <row r="151" customFormat="false" ht="15" hidden="false" customHeight="false" outlineLevel="0" collapsed="false">
      <c r="A151" s="2"/>
      <c r="B151" s="3" t="str">
        <f aca="false">IF(A151="","",MONTH(A151))</f>
        <v/>
      </c>
      <c r="C151" s="4"/>
      <c r="D151" s="4"/>
      <c r="E151" s="5"/>
      <c r="F151" s="6"/>
      <c r="G151" s="7" t="str">
        <f aca="false">IF(E151="","",ROUND(E151*F151,2))</f>
        <v/>
      </c>
      <c r="H151" s="7" t="str">
        <f aca="false">IF(E151="","",E151+G151)</f>
        <v/>
      </c>
      <c r="I151" s="4"/>
      <c r="J151" s="4"/>
      <c r="K151" s="4"/>
    </row>
    <row r="152" customFormat="false" ht="15" hidden="false" customHeight="false" outlineLevel="0" collapsed="false">
      <c r="A152" s="2"/>
      <c r="B152" s="3" t="str">
        <f aca="false">IF(A152="","",MONTH(A152))</f>
        <v/>
      </c>
      <c r="C152" s="4"/>
      <c r="D152" s="4"/>
      <c r="E152" s="5"/>
      <c r="F152" s="6"/>
      <c r="G152" s="7" t="str">
        <f aca="false">IF(E152="","",ROUND(E152*F152,2))</f>
        <v/>
      </c>
      <c r="H152" s="7" t="str">
        <f aca="false">IF(E152="","",E152+G152)</f>
        <v/>
      </c>
      <c r="I152" s="4"/>
      <c r="J152" s="4"/>
      <c r="K152" s="4"/>
    </row>
    <row r="153" customFormat="false" ht="15" hidden="false" customHeight="false" outlineLevel="0" collapsed="false">
      <c r="A153" s="2"/>
      <c r="B153" s="3" t="str">
        <f aca="false">IF(A153="","",MONTH(A153))</f>
        <v/>
      </c>
      <c r="C153" s="4"/>
      <c r="D153" s="4"/>
      <c r="E153" s="5"/>
      <c r="F153" s="6"/>
      <c r="G153" s="7" t="str">
        <f aca="false">IF(E153="","",ROUND(E153*F153,2))</f>
        <v/>
      </c>
      <c r="H153" s="7" t="str">
        <f aca="false">IF(E153="","",E153+G153)</f>
        <v/>
      </c>
      <c r="I153" s="4"/>
      <c r="J153" s="4"/>
      <c r="K153" s="4"/>
    </row>
    <row r="154" customFormat="false" ht="15" hidden="false" customHeight="false" outlineLevel="0" collapsed="false">
      <c r="A154" s="2"/>
      <c r="B154" s="3" t="str">
        <f aca="false">IF(A154="","",MONTH(A154))</f>
        <v/>
      </c>
      <c r="C154" s="4"/>
      <c r="D154" s="4"/>
      <c r="E154" s="5"/>
      <c r="F154" s="6"/>
      <c r="G154" s="7" t="str">
        <f aca="false">IF(E154="","",ROUND(E154*F154,2))</f>
        <v/>
      </c>
      <c r="H154" s="7" t="str">
        <f aca="false">IF(E154="","",E154+G154)</f>
        <v/>
      </c>
      <c r="I154" s="4"/>
      <c r="J154" s="4"/>
      <c r="K154" s="4"/>
    </row>
    <row r="155" customFormat="false" ht="15" hidden="false" customHeight="false" outlineLevel="0" collapsed="false">
      <c r="A155" s="2"/>
      <c r="B155" s="3" t="str">
        <f aca="false">IF(A155="","",MONTH(A155))</f>
        <v/>
      </c>
      <c r="C155" s="4"/>
      <c r="D155" s="4"/>
      <c r="E155" s="5"/>
      <c r="F155" s="6"/>
      <c r="G155" s="7" t="str">
        <f aca="false">IF(E155="","",ROUND(E155*F155,2))</f>
        <v/>
      </c>
      <c r="H155" s="7" t="str">
        <f aca="false">IF(E155="","",E155+G155)</f>
        <v/>
      </c>
      <c r="I155" s="4"/>
      <c r="J155" s="4"/>
      <c r="K155" s="4"/>
    </row>
    <row r="156" customFormat="false" ht="15" hidden="false" customHeight="false" outlineLevel="0" collapsed="false">
      <c r="A156" s="2"/>
      <c r="B156" s="3" t="str">
        <f aca="false">IF(A156="","",MONTH(A156))</f>
        <v/>
      </c>
      <c r="C156" s="4"/>
      <c r="D156" s="4"/>
      <c r="E156" s="5"/>
      <c r="F156" s="6"/>
      <c r="G156" s="7" t="str">
        <f aca="false">IF(E156="","",ROUND(E156*F156,2))</f>
        <v/>
      </c>
      <c r="H156" s="7" t="str">
        <f aca="false">IF(E156="","",E156+G156)</f>
        <v/>
      </c>
      <c r="I156" s="4"/>
      <c r="J156" s="4"/>
      <c r="K156" s="4"/>
    </row>
    <row r="157" customFormat="false" ht="15" hidden="false" customHeight="false" outlineLevel="0" collapsed="false">
      <c r="A157" s="2"/>
      <c r="B157" s="3" t="str">
        <f aca="false">IF(A157="","",MONTH(A157))</f>
        <v/>
      </c>
      <c r="C157" s="4"/>
      <c r="D157" s="4"/>
      <c r="E157" s="5"/>
      <c r="F157" s="6"/>
      <c r="G157" s="7" t="str">
        <f aca="false">IF(E157="","",ROUND(E157*F157,2))</f>
        <v/>
      </c>
      <c r="H157" s="7" t="str">
        <f aca="false">IF(E157="","",E157+G157)</f>
        <v/>
      </c>
      <c r="I157" s="4"/>
      <c r="J157" s="4"/>
      <c r="K157" s="4"/>
    </row>
    <row r="158" customFormat="false" ht="15" hidden="false" customHeight="false" outlineLevel="0" collapsed="false">
      <c r="A158" s="2"/>
      <c r="B158" s="3" t="str">
        <f aca="false">IF(A158="","",MONTH(A158))</f>
        <v/>
      </c>
      <c r="C158" s="4"/>
      <c r="D158" s="4"/>
      <c r="E158" s="5"/>
      <c r="F158" s="6"/>
      <c r="G158" s="7" t="str">
        <f aca="false">IF(E158="","",ROUND(E158*F158,2))</f>
        <v/>
      </c>
      <c r="H158" s="7" t="str">
        <f aca="false">IF(E158="","",E158+G158)</f>
        <v/>
      </c>
      <c r="I158" s="4"/>
      <c r="J158" s="4"/>
      <c r="K158" s="4"/>
    </row>
    <row r="159" customFormat="false" ht="15" hidden="false" customHeight="false" outlineLevel="0" collapsed="false">
      <c r="A159" s="2"/>
      <c r="B159" s="3" t="str">
        <f aca="false">IF(A159="","",MONTH(A159))</f>
        <v/>
      </c>
      <c r="C159" s="4"/>
      <c r="D159" s="4"/>
      <c r="E159" s="5"/>
      <c r="F159" s="6"/>
      <c r="G159" s="7" t="str">
        <f aca="false">IF(E159="","",ROUND(E159*F159,2))</f>
        <v/>
      </c>
      <c r="H159" s="7" t="str">
        <f aca="false">IF(E159="","",E159+G159)</f>
        <v/>
      </c>
      <c r="I159" s="4"/>
      <c r="J159" s="4"/>
      <c r="K159" s="4"/>
    </row>
    <row r="160" customFormat="false" ht="15" hidden="false" customHeight="false" outlineLevel="0" collapsed="false">
      <c r="A160" s="2"/>
      <c r="B160" s="3" t="str">
        <f aca="false">IF(A160="","",MONTH(A160))</f>
        <v/>
      </c>
      <c r="C160" s="4"/>
      <c r="D160" s="4"/>
      <c r="E160" s="5"/>
      <c r="F160" s="6"/>
      <c r="G160" s="7" t="str">
        <f aca="false">IF(E160="","",ROUND(E160*F160,2))</f>
        <v/>
      </c>
      <c r="H160" s="7" t="str">
        <f aca="false">IF(E160="","",E160+G160)</f>
        <v/>
      </c>
      <c r="I160" s="4"/>
      <c r="J160" s="4"/>
      <c r="K160" s="4"/>
    </row>
    <row r="161" customFormat="false" ht="15" hidden="false" customHeight="false" outlineLevel="0" collapsed="false">
      <c r="A161" s="2"/>
      <c r="B161" s="3" t="str">
        <f aca="false">IF(A161="","",MONTH(A161))</f>
        <v/>
      </c>
      <c r="C161" s="4"/>
      <c r="D161" s="4"/>
      <c r="E161" s="5"/>
      <c r="F161" s="6"/>
      <c r="G161" s="7" t="str">
        <f aca="false">IF(E161="","",ROUND(E161*F161,2))</f>
        <v/>
      </c>
      <c r="H161" s="7" t="str">
        <f aca="false">IF(E161="","",E161+G161)</f>
        <v/>
      </c>
      <c r="I161" s="4"/>
      <c r="J161" s="4"/>
      <c r="K161" s="4"/>
    </row>
    <row r="162" customFormat="false" ht="15" hidden="false" customHeight="false" outlineLevel="0" collapsed="false">
      <c r="A162" s="2"/>
      <c r="B162" s="3" t="str">
        <f aca="false">IF(A162="","",MONTH(A162))</f>
        <v/>
      </c>
      <c r="C162" s="4"/>
      <c r="D162" s="4"/>
      <c r="E162" s="5"/>
      <c r="F162" s="6"/>
      <c r="G162" s="7" t="str">
        <f aca="false">IF(E162="","",ROUND(E162*F162,2))</f>
        <v/>
      </c>
      <c r="H162" s="7" t="str">
        <f aca="false">IF(E162="","",E162+G162)</f>
        <v/>
      </c>
      <c r="I162" s="4"/>
      <c r="J162" s="4"/>
      <c r="K162" s="4"/>
    </row>
    <row r="163" customFormat="false" ht="15" hidden="false" customHeight="false" outlineLevel="0" collapsed="false">
      <c r="A163" s="2"/>
      <c r="B163" s="3" t="str">
        <f aca="false">IF(A163="","",MONTH(A163))</f>
        <v/>
      </c>
      <c r="C163" s="4"/>
      <c r="D163" s="4"/>
      <c r="E163" s="5"/>
      <c r="F163" s="6"/>
      <c r="G163" s="7" t="str">
        <f aca="false">IF(E163="","",ROUND(E163*F163,2))</f>
        <v/>
      </c>
      <c r="H163" s="7" t="str">
        <f aca="false">IF(E163="","",E163+G163)</f>
        <v/>
      </c>
      <c r="I163" s="4"/>
      <c r="J163" s="4"/>
      <c r="K163" s="4"/>
    </row>
    <row r="164" customFormat="false" ht="15" hidden="false" customHeight="false" outlineLevel="0" collapsed="false">
      <c r="A164" s="2"/>
      <c r="B164" s="3" t="str">
        <f aca="false">IF(A164="","",MONTH(A164))</f>
        <v/>
      </c>
      <c r="C164" s="4"/>
      <c r="D164" s="4"/>
      <c r="E164" s="5"/>
      <c r="F164" s="6"/>
      <c r="G164" s="7" t="str">
        <f aca="false">IF(E164="","",ROUND(E164*F164,2))</f>
        <v/>
      </c>
      <c r="H164" s="7" t="str">
        <f aca="false">IF(E164="","",E164+G164)</f>
        <v/>
      </c>
      <c r="I164" s="4"/>
      <c r="J164" s="4"/>
      <c r="K164" s="4"/>
    </row>
    <row r="165" customFormat="false" ht="15" hidden="false" customHeight="false" outlineLevel="0" collapsed="false">
      <c r="A165" s="2"/>
      <c r="B165" s="3" t="str">
        <f aca="false">IF(A165="","",MONTH(A165))</f>
        <v/>
      </c>
      <c r="C165" s="4"/>
      <c r="D165" s="4"/>
      <c r="E165" s="5"/>
      <c r="F165" s="6"/>
      <c r="G165" s="7" t="str">
        <f aca="false">IF(E165="","",ROUND(E165*F165,2))</f>
        <v/>
      </c>
      <c r="H165" s="7" t="str">
        <f aca="false">IF(E165="","",E165+G165)</f>
        <v/>
      </c>
      <c r="I165" s="4"/>
      <c r="J165" s="4"/>
      <c r="K165" s="4"/>
    </row>
    <row r="166" customFormat="false" ht="15" hidden="false" customHeight="false" outlineLevel="0" collapsed="false">
      <c r="A166" s="2"/>
      <c r="B166" s="3" t="str">
        <f aca="false">IF(A166="","",MONTH(A166))</f>
        <v/>
      </c>
      <c r="C166" s="4"/>
      <c r="D166" s="4"/>
      <c r="E166" s="5"/>
      <c r="F166" s="6"/>
      <c r="G166" s="7" t="str">
        <f aca="false">IF(E166="","",ROUND(E166*F166,2))</f>
        <v/>
      </c>
      <c r="H166" s="7" t="str">
        <f aca="false">IF(E166="","",E166+G166)</f>
        <v/>
      </c>
      <c r="I166" s="4"/>
      <c r="J166" s="4"/>
      <c r="K166" s="4"/>
    </row>
    <row r="167" customFormat="false" ht="15" hidden="false" customHeight="false" outlineLevel="0" collapsed="false">
      <c r="A167" s="2"/>
      <c r="B167" s="3" t="str">
        <f aca="false">IF(A167="","",MONTH(A167))</f>
        <v/>
      </c>
      <c r="C167" s="4"/>
      <c r="D167" s="4"/>
      <c r="E167" s="5"/>
      <c r="F167" s="6"/>
      <c r="G167" s="7" t="str">
        <f aca="false">IF(E167="","",ROUND(E167*F167,2))</f>
        <v/>
      </c>
      <c r="H167" s="7" t="str">
        <f aca="false">IF(E167="","",E167+G167)</f>
        <v/>
      </c>
      <c r="I167" s="4"/>
      <c r="J167" s="4"/>
      <c r="K167" s="4"/>
    </row>
    <row r="168" customFormat="false" ht="15" hidden="false" customHeight="false" outlineLevel="0" collapsed="false">
      <c r="A168" s="2"/>
      <c r="B168" s="3" t="str">
        <f aca="false">IF(A168="","",MONTH(A168))</f>
        <v/>
      </c>
      <c r="C168" s="4"/>
      <c r="D168" s="4"/>
      <c r="E168" s="5"/>
      <c r="F168" s="6"/>
      <c r="G168" s="7" t="str">
        <f aca="false">IF(E168="","",ROUND(E168*F168,2))</f>
        <v/>
      </c>
      <c r="H168" s="7" t="str">
        <f aca="false">IF(E168="","",E168+G168)</f>
        <v/>
      </c>
      <c r="I168" s="4"/>
      <c r="J168" s="4"/>
      <c r="K168" s="4"/>
    </row>
    <row r="169" customFormat="false" ht="15" hidden="false" customHeight="false" outlineLevel="0" collapsed="false">
      <c r="A169" s="2"/>
      <c r="B169" s="3" t="str">
        <f aca="false">IF(A169="","",MONTH(A169))</f>
        <v/>
      </c>
      <c r="C169" s="4"/>
      <c r="D169" s="4"/>
      <c r="E169" s="5"/>
      <c r="F169" s="6"/>
      <c r="G169" s="7" t="str">
        <f aca="false">IF(E169="","",ROUND(E169*F169,2))</f>
        <v/>
      </c>
      <c r="H169" s="7" t="str">
        <f aca="false">IF(E169="","",E169+G169)</f>
        <v/>
      </c>
      <c r="I169" s="4"/>
      <c r="J169" s="4"/>
      <c r="K169" s="4"/>
    </row>
    <row r="170" customFormat="false" ht="15" hidden="false" customHeight="false" outlineLevel="0" collapsed="false">
      <c r="A170" s="2"/>
      <c r="B170" s="3" t="str">
        <f aca="false">IF(A170="","",MONTH(A170))</f>
        <v/>
      </c>
      <c r="C170" s="4"/>
      <c r="D170" s="4"/>
      <c r="E170" s="5"/>
      <c r="F170" s="6"/>
      <c r="G170" s="7" t="str">
        <f aca="false">IF(E170="","",ROUND(E170*F170,2))</f>
        <v/>
      </c>
      <c r="H170" s="7" t="str">
        <f aca="false">IF(E170="","",E170+G170)</f>
        <v/>
      </c>
      <c r="I170" s="4"/>
      <c r="J170" s="4"/>
      <c r="K170" s="4"/>
    </row>
    <row r="171" customFormat="false" ht="15" hidden="false" customHeight="false" outlineLevel="0" collapsed="false">
      <c r="A171" s="2"/>
      <c r="B171" s="3" t="str">
        <f aca="false">IF(A171="","",MONTH(A171))</f>
        <v/>
      </c>
      <c r="C171" s="4"/>
      <c r="D171" s="4"/>
      <c r="E171" s="5"/>
      <c r="F171" s="6"/>
      <c r="G171" s="7" t="str">
        <f aca="false">IF(E171="","",ROUND(E171*F171,2))</f>
        <v/>
      </c>
      <c r="H171" s="7" t="str">
        <f aca="false">IF(E171="","",E171+G171)</f>
        <v/>
      </c>
      <c r="I171" s="4"/>
      <c r="J171" s="4"/>
      <c r="K171" s="4"/>
    </row>
    <row r="172" customFormat="false" ht="15" hidden="false" customHeight="false" outlineLevel="0" collapsed="false">
      <c r="A172" s="2"/>
      <c r="B172" s="3" t="str">
        <f aca="false">IF(A172="","",MONTH(A172))</f>
        <v/>
      </c>
      <c r="C172" s="4"/>
      <c r="D172" s="4"/>
      <c r="E172" s="5"/>
      <c r="F172" s="6"/>
      <c r="G172" s="7" t="str">
        <f aca="false">IF(E172="","",ROUND(E172*F172,2))</f>
        <v/>
      </c>
      <c r="H172" s="7" t="str">
        <f aca="false">IF(E172="","",E172+G172)</f>
        <v/>
      </c>
      <c r="I172" s="4"/>
      <c r="J172" s="4"/>
      <c r="K172" s="4"/>
    </row>
    <row r="173" customFormat="false" ht="15" hidden="false" customHeight="false" outlineLevel="0" collapsed="false">
      <c r="A173" s="2"/>
      <c r="B173" s="3" t="str">
        <f aca="false">IF(A173="","",MONTH(A173))</f>
        <v/>
      </c>
      <c r="C173" s="4"/>
      <c r="D173" s="4"/>
      <c r="E173" s="5"/>
      <c r="F173" s="6"/>
      <c r="G173" s="7" t="str">
        <f aca="false">IF(E173="","",ROUND(E173*F173,2))</f>
        <v/>
      </c>
      <c r="H173" s="7" t="str">
        <f aca="false">IF(E173="","",E173+G173)</f>
        <v/>
      </c>
      <c r="I173" s="4"/>
      <c r="J173" s="4"/>
      <c r="K173" s="4"/>
    </row>
    <row r="174" customFormat="false" ht="15" hidden="false" customHeight="false" outlineLevel="0" collapsed="false">
      <c r="A174" s="2"/>
      <c r="B174" s="3" t="str">
        <f aca="false">IF(A174="","",MONTH(A174))</f>
        <v/>
      </c>
      <c r="C174" s="4"/>
      <c r="D174" s="4"/>
      <c r="E174" s="5"/>
      <c r="F174" s="6"/>
      <c r="G174" s="7" t="str">
        <f aca="false">IF(E174="","",ROUND(E174*F174,2))</f>
        <v/>
      </c>
      <c r="H174" s="7" t="str">
        <f aca="false">IF(E174="","",E174+G174)</f>
        <v/>
      </c>
      <c r="I174" s="4"/>
      <c r="J174" s="4"/>
      <c r="K174" s="4"/>
    </row>
    <row r="175" customFormat="false" ht="15" hidden="false" customHeight="false" outlineLevel="0" collapsed="false">
      <c r="A175" s="2"/>
      <c r="B175" s="3" t="str">
        <f aca="false">IF(A175="","",MONTH(A175))</f>
        <v/>
      </c>
      <c r="C175" s="4"/>
      <c r="D175" s="4"/>
      <c r="E175" s="5"/>
      <c r="F175" s="6"/>
      <c r="G175" s="7" t="str">
        <f aca="false">IF(E175="","",ROUND(E175*F175,2))</f>
        <v/>
      </c>
      <c r="H175" s="7" t="str">
        <f aca="false">IF(E175="","",E175+G175)</f>
        <v/>
      </c>
      <c r="I175" s="4"/>
      <c r="J175" s="4"/>
      <c r="K175" s="4"/>
    </row>
    <row r="176" customFormat="false" ht="15" hidden="false" customHeight="false" outlineLevel="0" collapsed="false">
      <c r="A176" s="2"/>
      <c r="B176" s="3" t="str">
        <f aca="false">IF(A176="","",MONTH(A176))</f>
        <v/>
      </c>
      <c r="C176" s="4"/>
      <c r="D176" s="4"/>
      <c r="E176" s="5"/>
      <c r="F176" s="6"/>
      <c r="G176" s="7" t="str">
        <f aca="false">IF(E176="","",ROUND(E176*F176,2))</f>
        <v/>
      </c>
      <c r="H176" s="7" t="str">
        <f aca="false">IF(E176="","",E176+G176)</f>
        <v/>
      </c>
      <c r="I176" s="4"/>
      <c r="J176" s="4"/>
      <c r="K176" s="4"/>
    </row>
    <row r="177" customFormat="false" ht="15" hidden="false" customHeight="false" outlineLevel="0" collapsed="false">
      <c r="A177" s="2"/>
      <c r="B177" s="3" t="str">
        <f aca="false">IF(A177="","",MONTH(A177))</f>
        <v/>
      </c>
      <c r="C177" s="4"/>
      <c r="D177" s="4"/>
      <c r="E177" s="5"/>
      <c r="F177" s="6"/>
      <c r="G177" s="7" t="str">
        <f aca="false">IF(E177="","",ROUND(E177*F177,2))</f>
        <v/>
      </c>
      <c r="H177" s="7" t="str">
        <f aca="false">IF(E177="","",E177+G177)</f>
        <v/>
      </c>
      <c r="I177" s="4"/>
      <c r="J177" s="4"/>
      <c r="K177" s="4"/>
    </row>
    <row r="178" customFormat="false" ht="15" hidden="false" customHeight="false" outlineLevel="0" collapsed="false">
      <c r="A178" s="2"/>
      <c r="B178" s="3" t="str">
        <f aca="false">IF(A178="","",MONTH(A178))</f>
        <v/>
      </c>
      <c r="C178" s="4"/>
      <c r="D178" s="4"/>
      <c r="E178" s="5"/>
      <c r="F178" s="6"/>
      <c r="G178" s="7" t="str">
        <f aca="false">IF(E178="","",ROUND(E178*F178,2))</f>
        <v/>
      </c>
      <c r="H178" s="7" t="str">
        <f aca="false">IF(E178="","",E178+G178)</f>
        <v/>
      </c>
      <c r="I178" s="4"/>
      <c r="J178" s="4"/>
      <c r="K178" s="4"/>
    </row>
    <row r="179" customFormat="false" ht="15" hidden="false" customHeight="false" outlineLevel="0" collapsed="false">
      <c r="A179" s="2"/>
      <c r="B179" s="3" t="str">
        <f aca="false">IF(A179="","",MONTH(A179))</f>
        <v/>
      </c>
      <c r="C179" s="4"/>
      <c r="D179" s="4"/>
      <c r="E179" s="5"/>
      <c r="F179" s="6"/>
      <c r="G179" s="7" t="str">
        <f aca="false">IF(E179="","",ROUND(E179*F179,2))</f>
        <v/>
      </c>
      <c r="H179" s="7" t="str">
        <f aca="false">IF(E179="","",E179+G179)</f>
        <v/>
      </c>
      <c r="I179" s="4"/>
      <c r="J179" s="4"/>
      <c r="K179" s="4"/>
    </row>
    <row r="180" customFormat="false" ht="15" hidden="false" customHeight="false" outlineLevel="0" collapsed="false">
      <c r="A180" s="2"/>
      <c r="B180" s="3" t="str">
        <f aca="false">IF(A180="","",MONTH(A180))</f>
        <v/>
      </c>
      <c r="C180" s="4"/>
      <c r="D180" s="4"/>
      <c r="E180" s="5"/>
      <c r="F180" s="6"/>
      <c r="G180" s="7" t="str">
        <f aca="false">IF(E180="","",ROUND(E180*F180,2))</f>
        <v/>
      </c>
      <c r="H180" s="7" t="str">
        <f aca="false">IF(E180="","",E180+G180)</f>
        <v/>
      </c>
      <c r="I180" s="4"/>
      <c r="J180" s="4"/>
      <c r="K180" s="4"/>
    </row>
    <row r="181" customFormat="false" ht="15" hidden="false" customHeight="false" outlineLevel="0" collapsed="false">
      <c r="A181" s="2"/>
      <c r="B181" s="3" t="str">
        <f aca="false">IF(A181="","",MONTH(A181))</f>
        <v/>
      </c>
      <c r="C181" s="4"/>
      <c r="D181" s="4"/>
      <c r="E181" s="5"/>
      <c r="F181" s="6"/>
      <c r="G181" s="7" t="str">
        <f aca="false">IF(E181="","",ROUND(E181*F181,2))</f>
        <v/>
      </c>
      <c r="H181" s="7" t="str">
        <f aca="false">IF(E181="","",E181+G181)</f>
        <v/>
      </c>
      <c r="I181" s="4"/>
      <c r="J181" s="4"/>
      <c r="K181" s="4"/>
    </row>
    <row r="182" customFormat="false" ht="15" hidden="false" customHeight="false" outlineLevel="0" collapsed="false">
      <c r="A182" s="2"/>
      <c r="B182" s="3" t="str">
        <f aca="false">IF(A182="","",MONTH(A182))</f>
        <v/>
      </c>
      <c r="C182" s="4"/>
      <c r="D182" s="4"/>
      <c r="E182" s="5"/>
      <c r="F182" s="6"/>
      <c r="G182" s="7" t="str">
        <f aca="false">IF(E182="","",ROUND(E182*F182,2))</f>
        <v/>
      </c>
      <c r="H182" s="7" t="str">
        <f aca="false">IF(E182="","",E182+G182)</f>
        <v/>
      </c>
      <c r="I182" s="4"/>
      <c r="J182" s="4"/>
      <c r="K182" s="4"/>
    </row>
    <row r="183" customFormat="false" ht="15" hidden="false" customHeight="false" outlineLevel="0" collapsed="false">
      <c r="A183" s="2"/>
      <c r="B183" s="3" t="str">
        <f aca="false">IF(A183="","",MONTH(A183))</f>
        <v/>
      </c>
      <c r="C183" s="4"/>
      <c r="D183" s="4"/>
      <c r="E183" s="5"/>
      <c r="F183" s="6"/>
      <c r="G183" s="7" t="str">
        <f aca="false">IF(E183="","",ROUND(E183*F183,2))</f>
        <v/>
      </c>
      <c r="H183" s="7" t="str">
        <f aca="false">IF(E183="","",E183+G183)</f>
        <v/>
      </c>
      <c r="I183" s="4"/>
      <c r="J183" s="4"/>
      <c r="K183" s="4"/>
    </row>
    <row r="184" customFormat="false" ht="15" hidden="false" customHeight="false" outlineLevel="0" collapsed="false">
      <c r="A184" s="2"/>
      <c r="B184" s="3" t="str">
        <f aca="false">IF(A184="","",MONTH(A184))</f>
        <v/>
      </c>
      <c r="C184" s="4"/>
      <c r="D184" s="4"/>
      <c r="E184" s="5"/>
      <c r="F184" s="6"/>
      <c r="G184" s="7" t="str">
        <f aca="false">IF(E184="","",ROUND(E184*F184,2))</f>
        <v/>
      </c>
      <c r="H184" s="7" t="str">
        <f aca="false">IF(E184="","",E184+G184)</f>
        <v/>
      </c>
      <c r="I184" s="4"/>
      <c r="J184" s="4"/>
      <c r="K184" s="4"/>
    </row>
    <row r="185" customFormat="false" ht="15" hidden="false" customHeight="false" outlineLevel="0" collapsed="false">
      <c r="A185" s="2"/>
      <c r="B185" s="3" t="str">
        <f aca="false">IF(A185="","",MONTH(A185))</f>
        <v/>
      </c>
      <c r="C185" s="4"/>
      <c r="D185" s="4"/>
      <c r="E185" s="5"/>
      <c r="F185" s="6"/>
      <c r="G185" s="7" t="str">
        <f aca="false">IF(E185="","",ROUND(E185*F185,2))</f>
        <v/>
      </c>
      <c r="H185" s="7" t="str">
        <f aca="false">IF(E185="","",E185+G185)</f>
        <v/>
      </c>
      <c r="I185" s="4"/>
      <c r="J185" s="4"/>
      <c r="K185" s="4"/>
    </row>
    <row r="186" customFormat="false" ht="15" hidden="false" customHeight="false" outlineLevel="0" collapsed="false">
      <c r="A186" s="2"/>
      <c r="B186" s="3" t="str">
        <f aca="false">IF(A186="","",MONTH(A186))</f>
        <v/>
      </c>
      <c r="C186" s="4"/>
      <c r="D186" s="4"/>
      <c r="E186" s="5"/>
      <c r="F186" s="6"/>
      <c r="G186" s="7" t="str">
        <f aca="false">IF(E186="","",ROUND(E186*F186,2))</f>
        <v/>
      </c>
      <c r="H186" s="7" t="str">
        <f aca="false">IF(E186="","",E186+G186)</f>
        <v/>
      </c>
      <c r="I186" s="4"/>
      <c r="J186" s="4"/>
      <c r="K186" s="4"/>
    </row>
    <row r="187" customFormat="false" ht="15" hidden="false" customHeight="false" outlineLevel="0" collapsed="false">
      <c r="A187" s="2"/>
      <c r="B187" s="3" t="str">
        <f aca="false">IF(A187="","",MONTH(A187))</f>
        <v/>
      </c>
      <c r="C187" s="4"/>
      <c r="D187" s="4"/>
      <c r="E187" s="5"/>
      <c r="F187" s="6"/>
      <c r="G187" s="7" t="str">
        <f aca="false">IF(E187="","",ROUND(E187*F187,2))</f>
        <v/>
      </c>
      <c r="H187" s="7" t="str">
        <f aca="false">IF(E187="","",E187+G187)</f>
        <v/>
      </c>
      <c r="I187" s="4"/>
      <c r="J187" s="4"/>
      <c r="K187" s="4"/>
    </row>
    <row r="188" customFormat="false" ht="15" hidden="false" customHeight="false" outlineLevel="0" collapsed="false">
      <c r="A188" s="2"/>
      <c r="B188" s="3" t="str">
        <f aca="false">IF(A188="","",MONTH(A188))</f>
        <v/>
      </c>
      <c r="C188" s="4"/>
      <c r="D188" s="4"/>
      <c r="E188" s="5"/>
      <c r="F188" s="6"/>
      <c r="G188" s="7" t="str">
        <f aca="false">IF(E188="","",ROUND(E188*F188,2))</f>
        <v/>
      </c>
      <c r="H188" s="7" t="str">
        <f aca="false">IF(E188="","",E188+G188)</f>
        <v/>
      </c>
      <c r="I188" s="4"/>
      <c r="J188" s="4"/>
      <c r="K188" s="4"/>
    </row>
    <row r="189" customFormat="false" ht="15" hidden="false" customHeight="false" outlineLevel="0" collapsed="false">
      <c r="A189" s="2"/>
      <c r="B189" s="3" t="str">
        <f aca="false">IF(A189="","",MONTH(A189))</f>
        <v/>
      </c>
      <c r="C189" s="4"/>
      <c r="D189" s="4"/>
      <c r="E189" s="5"/>
      <c r="F189" s="6"/>
      <c r="G189" s="7" t="str">
        <f aca="false">IF(E189="","",ROUND(E189*F189,2))</f>
        <v/>
      </c>
      <c r="H189" s="7" t="str">
        <f aca="false">IF(E189="","",E189+G189)</f>
        <v/>
      </c>
      <c r="I189" s="4"/>
      <c r="J189" s="4"/>
      <c r="K189" s="4"/>
    </row>
    <row r="190" customFormat="false" ht="15" hidden="false" customHeight="false" outlineLevel="0" collapsed="false">
      <c r="A190" s="2"/>
      <c r="B190" s="3" t="str">
        <f aca="false">IF(A190="","",MONTH(A190))</f>
        <v/>
      </c>
      <c r="C190" s="4"/>
      <c r="D190" s="4"/>
      <c r="E190" s="5"/>
      <c r="F190" s="6"/>
      <c r="G190" s="7" t="str">
        <f aca="false">IF(E190="","",ROUND(E190*F190,2))</f>
        <v/>
      </c>
      <c r="H190" s="7" t="str">
        <f aca="false">IF(E190="","",E190+G190)</f>
        <v/>
      </c>
      <c r="I190" s="4"/>
      <c r="J190" s="4"/>
      <c r="K190" s="4"/>
    </row>
    <row r="191" customFormat="false" ht="15" hidden="false" customHeight="false" outlineLevel="0" collapsed="false">
      <c r="A191" s="2"/>
      <c r="B191" s="3" t="str">
        <f aca="false">IF(A191="","",MONTH(A191))</f>
        <v/>
      </c>
      <c r="C191" s="4"/>
      <c r="D191" s="4"/>
      <c r="E191" s="5"/>
      <c r="F191" s="6"/>
      <c r="G191" s="7" t="str">
        <f aca="false">IF(E191="","",ROUND(E191*F191,2))</f>
        <v/>
      </c>
      <c r="H191" s="7" t="str">
        <f aca="false">IF(E191="","",E191+G191)</f>
        <v/>
      </c>
      <c r="I191" s="4"/>
      <c r="J191" s="4"/>
      <c r="K191" s="4"/>
    </row>
    <row r="192" customFormat="false" ht="15" hidden="false" customHeight="false" outlineLevel="0" collapsed="false">
      <c r="A192" s="2"/>
      <c r="B192" s="3" t="str">
        <f aca="false">IF(A192="","",MONTH(A192))</f>
        <v/>
      </c>
      <c r="C192" s="4"/>
      <c r="D192" s="4"/>
      <c r="E192" s="5"/>
      <c r="F192" s="6"/>
      <c r="G192" s="7" t="str">
        <f aca="false">IF(E192="","",ROUND(E192*F192,2))</f>
        <v/>
      </c>
      <c r="H192" s="7" t="str">
        <f aca="false">IF(E192="","",E192+G192)</f>
        <v/>
      </c>
      <c r="I192" s="4"/>
      <c r="J192" s="4"/>
      <c r="K192" s="4"/>
    </row>
    <row r="193" customFormat="false" ht="15" hidden="false" customHeight="false" outlineLevel="0" collapsed="false">
      <c r="A193" s="2"/>
      <c r="B193" s="3" t="str">
        <f aca="false">IF(A193="","",MONTH(A193))</f>
        <v/>
      </c>
      <c r="C193" s="4"/>
      <c r="D193" s="4"/>
      <c r="E193" s="5"/>
      <c r="F193" s="6"/>
      <c r="G193" s="7" t="str">
        <f aca="false">IF(E193="","",ROUND(E193*F193,2))</f>
        <v/>
      </c>
      <c r="H193" s="7" t="str">
        <f aca="false">IF(E193="","",E193+G193)</f>
        <v/>
      </c>
      <c r="I193" s="4"/>
      <c r="J193" s="4"/>
      <c r="K193" s="4"/>
    </row>
    <row r="194" customFormat="false" ht="15" hidden="false" customHeight="false" outlineLevel="0" collapsed="false">
      <c r="A194" s="2"/>
      <c r="B194" s="3" t="str">
        <f aca="false">IF(A194="","",MONTH(A194))</f>
        <v/>
      </c>
      <c r="C194" s="4"/>
      <c r="D194" s="4"/>
      <c r="E194" s="5"/>
      <c r="F194" s="6"/>
      <c r="G194" s="7" t="str">
        <f aca="false">IF(E194="","",ROUND(E194*F194,2))</f>
        <v/>
      </c>
      <c r="H194" s="7" t="str">
        <f aca="false">IF(E194="","",E194+G194)</f>
        <v/>
      </c>
      <c r="I194" s="4"/>
      <c r="J194" s="4"/>
      <c r="K194" s="4"/>
    </row>
    <row r="195" customFormat="false" ht="15" hidden="false" customHeight="false" outlineLevel="0" collapsed="false">
      <c r="A195" s="2"/>
      <c r="B195" s="3" t="str">
        <f aca="false">IF(A195="","",MONTH(A195))</f>
        <v/>
      </c>
      <c r="C195" s="4"/>
      <c r="D195" s="4"/>
      <c r="E195" s="5"/>
      <c r="F195" s="6"/>
      <c r="G195" s="7" t="str">
        <f aca="false">IF(E195="","",ROUND(E195*F195,2))</f>
        <v/>
      </c>
      <c r="H195" s="7" t="str">
        <f aca="false">IF(E195="","",E195+G195)</f>
        <v/>
      </c>
      <c r="I195" s="4"/>
      <c r="J195" s="4"/>
      <c r="K195" s="4"/>
    </row>
    <row r="196" customFormat="false" ht="15" hidden="false" customHeight="false" outlineLevel="0" collapsed="false">
      <c r="A196" s="2"/>
      <c r="B196" s="3" t="str">
        <f aca="false">IF(A196="","",MONTH(A196))</f>
        <v/>
      </c>
      <c r="C196" s="4"/>
      <c r="D196" s="4"/>
      <c r="E196" s="5"/>
      <c r="F196" s="6"/>
      <c r="G196" s="7" t="str">
        <f aca="false">IF(E196="","",ROUND(E196*F196,2))</f>
        <v/>
      </c>
      <c r="H196" s="7" t="str">
        <f aca="false">IF(E196="","",E196+G196)</f>
        <v/>
      </c>
      <c r="I196" s="4"/>
      <c r="J196" s="4"/>
      <c r="K196" s="4"/>
    </row>
    <row r="197" customFormat="false" ht="15" hidden="false" customHeight="false" outlineLevel="0" collapsed="false">
      <c r="A197" s="2"/>
      <c r="B197" s="3" t="str">
        <f aca="false">IF(A197="","",MONTH(A197))</f>
        <v/>
      </c>
      <c r="C197" s="4"/>
      <c r="D197" s="4"/>
      <c r="E197" s="5"/>
      <c r="F197" s="6"/>
      <c r="G197" s="7" t="str">
        <f aca="false">IF(E197="","",ROUND(E197*F197,2))</f>
        <v/>
      </c>
      <c r="H197" s="7" t="str">
        <f aca="false">IF(E197="","",E197+G197)</f>
        <v/>
      </c>
      <c r="I197" s="4"/>
      <c r="J197" s="4"/>
      <c r="K197" s="4"/>
    </row>
    <row r="198" customFormat="false" ht="15" hidden="false" customHeight="false" outlineLevel="0" collapsed="false">
      <c r="A198" s="2"/>
      <c r="B198" s="3" t="str">
        <f aca="false">IF(A198="","",MONTH(A198))</f>
        <v/>
      </c>
      <c r="C198" s="4"/>
      <c r="D198" s="4"/>
      <c r="E198" s="5"/>
      <c r="F198" s="6"/>
      <c r="G198" s="7" t="str">
        <f aca="false">IF(E198="","",ROUND(E198*F198,2))</f>
        <v/>
      </c>
      <c r="H198" s="7" t="str">
        <f aca="false">IF(E198="","",E198+G198)</f>
        <v/>
      </c>
      <c r="I198" s="4"/>
      <c r="J198" s="4"/>
      <c r="K198" s="4"/>
    </row>
    <row r="199" customFormat="false" ht="15" hidden="false" customHeight="false" outlineLevel="0" collapsed="false">
      <c r="A199" s="2"/>
      <c r="B199" s="3" t="str">
        <f aca="false">IF(A199="","",MONTH(A199))</f>
        <v/>
      </c>
      <c r="C199" s="4"/>
      <c r="D199" s="4"/>
      <c r="E199" s="5"/>
      <c r="F199" s="6"/>
      <c r="G199" s="7" t="str">
        <f aca="false">IF(E199="","",ROUND(E199*F199,2))</f>
        <v/>
      </c>
      <c r="H199" s="7" t="str">
        <f aca="false">IF(E199="","",E199+G199)</f>
        <v/>
      </c>
      <c r="I199" s="4"/>
      <c r="J199" s="4"/>
      <c r="K199" s="4"/>
    </row>
    <row r="200" customFormat="false" ht="15" hidden="false" customHeight="false" outlineLevel="0" collapsed="false">
      <c r="A200" s="2"/>
      <c r="B200" s="3" t="str">
        <f aca="false">IF(A200="","",MONTH(A200))</f>
        <v/>
      </c>
      <c r="C200" s="4"/>
      <c r="D200" s="4"/>
      <c r="E200" s="5"/>
      <c r="F200" s="6"/>
      <c r="G200" s="7" t="str">
        <f aca="false">IF(E200="","",ROUND(E200*F200,2))</f>
        <v/>
      </c>
      <c r="H200" s="7" t="str">
        <f aca="false">IF(E200="","",E200+G200)</f>
        <v/>
      </c>
      <c r="I200" s="4"/>
      <c r="J200" s="4"/>
      <c r="K200" s="4"/>
    </row>
    <row r="201" customFormat="false" ht="15" hidden="false" customHeight="false" outlineLevel="0" collapsed="false">
      <c r="A201" s="2"/>
      <c r="B201" s="3" t="str">
        <f aca="false">IF(A201="","",MONTH(A201))</f>
        <v/>
      </c>
      <c r="C201" s="4"/>
      <c r="D201" s="4"/>
      <c r="E201" s="5"/>
      <c r="F201" s="6"/>
      <c r="G201" s="7" t="str">
        <f aca="false">IF(E201="","",ROUND(E201*F201,2))</f>
        <v/>
      </c>
      <c r="H201" s="7" t="str">
        <f aca="false">IF(E201="","",E201+G201)</f>
        <v/>
      </c>
      <c r="I201" s="4"/>
      <c r="J201" s="4"/>
      <c r="K201" s="4"/>
    </row>
    <row r="202" customFormat="false" ht="15" hidden="false" customHeight="false" outlineLevel="0" collapsed="false">
      <c r="A202" s="2"/>
      <c r="B202" s="3" t="str">
        <f aca="false">IF(A202="","",MONTH(A202))</f>
        <v/>
      </c>
      <c r="C202" s="4"/>
      <c r="D202" s="4"/>
      <c r="E202" s="5"/>
      <c r="F202" s="6"/>
      <c r="G202" s="7" t="str">
        <f aca="false">IF(E202="","",ROUND(E202*F202,2))</f>
        <v/>
      </c>
      <c r="H202" s="7" t="str">
        <f aca="false">IF(E202="","",E202+G202)</f>
        <v/>
      </c>
      <c r="I202" s="4"/>
      <c r="J202" s="4"/>
      <c r="K202" s="4"/>
    </row>
    <row r="203" customFormat="false" ht="15" hidden="false" customHeight="false" outlineLevel="0" collapsed="false">
      <c r="A203" s="2"/>
      <c r="B203" s="3" t="str">
        <f aca="false">IF(A203="","",MONTH(A203))</f>
        <v/>
      </c>
      <c r="C203" s="4"/>
      <c r="D203" s="4"/>
      <c r="E203" s="5"/>
      <c r="F203" s="6"/>
      <c r="G203" s="7" t="str">
        <f aca="false">IF(E203="","",ROUND(E203*F203,2))</f>
        <v/>
      </c>
      <c r="H203" s="7" t="str">
        <f aca="false">IF(E203="","",E203+G203)</f>
        <v/>
      </c>
      <c r="I203" s="4"/>
      <c r="J203" s="4"/>
      <c r="K203" s="4"/>
    </row>
    <row r="204" customFormat="false" ht="15" hidden="false" customHeight="false" outlineLevel="0" collapsed="false">
      <c r="A204" s="2"/>
      <c r="B204" s="3" t="str">
        <f aca="false">IF(A204="","",MONTH(A204))</f>
        <v/>
      </c>
      <c r="C204" s="4"/>
      <c r="D204" s="4"/>
      <c r="E204" s="5"/>
      <c r="F204" s="6"/>
      <c r="G204" s="7" t="str">
        <f aca="false">IF(E204="","",ROUND(E204*F204,2))</f>
        <v/>
      </c>
      <c r="H204" s="7" t="str">
        <f aca="false">IF(E204="","",E204+G204)</f>
        <v/>
      </c>
      <c r="I204" s="4"/>
      <c r="J204" s="4"/>
      <c r="K204" s="4"/>
    </row>
    <row r="205" customFormat="false" ht="15" hidden="false" customHeight="false" outlineLevel="0" collapsed="false">
      <c r="A205" s="2"/>
      <c r="B205" s="3" t="str">
        <f aca="false">IF(A205="","",MONTH(A205))</f>
        <v/>
      </c>
      <c r="C205" s="4"/>
      <c r="D205" s="4"/>
      <c r="E205" s="5"/>
      <c r="F205" s="6"/>
      <c r="G205" s="7" t="str">
        <f aca="false">IF(E205="","",ROUND(E205*F205,2))</f>
        <v/>
      </c>
      <c r="H205" s="7" t="str">
        <f aca="false">IF(E205="","",E205+G205)</f>
        <v/>
      </c>
      <c r="I205" s="4"/>
      <c r="J205" s="4"/>
      <c r="K205" s="4"/>
    </row>
    <row r="206" customFormat="false" ht="15" hidden="false" customHeight="false" outlineLevel="0" collapsed="false">
      <c r="A206" s="2"/>
      <c r="B206" s="3" t="str">
        <f aca="false">IF(A206="","",MONTH(A206))</f>
        <v/>
      </c>
      <c r="C206" s="4"/>
      <c r="D206" s="4"/>
      <c r="E206" s="5"/>
      <c r="F206" s="6"/>
      <c r="G206" s="7" t="str">
        <f aca="false">IF(E206="","",ROUND(E206*F206,2))</f>
        <v/>
      </c>
      <c r="H206" s="7" t="str">
        <f aca="false">IF(E206="","",E206+G206)</f>
        <v/>
      </c>
      <c r="I206" s="4"/>
      <c r="J206" s="4"/>
      <c r="K206" s="4"/>
    </row>
    <row r="207" customFormat="false" ht="15" hidden="false" customHeight="false" outlineLevel="0" collapsed="false">
      <c r="A207" s="2"/>
      <c r="B207" s="3" t="str">
        <f aca="false">IF(A207="","",MONTH(A207))</f>
        <v/>
      </c>
      <c r="C207" s="4"/>
      <c r="D207" s="4"/>
      <c r="E207" s="5"/>
      <c r="F207" s="6"/>
      <c r="G207" s="7" t="str">
        <f aca="false">IF(E207="","",ROUND(E207*F207,2))</f>
        <v/>
      </c>
      <c r="H207" s="7" t="str">
        <f aca="false">IF(E207="","",E207+G207)</f>
        <v/>
      </c>
      <c r="I207" s="4"/>
      <c r="J207" s="4"/>
      <c r="K207" s="4"/>
    </row>
    <row r="208" customFormat="false" ht="15" hidden="false" customHeight="false" outlineLevel="0" collapsed="false">
      <c r="A208" s="2"/>
      <c r="B208" s="3" t="str">
        <f aca="false">IF(A208="","",MONTH(A208))</f>
        <v/>
      </c>
      <c r="C208" s="4"/>
      <c r="D208" s="4"/>
      <c r="E208" s="5"/>
      <c r="F208" s="6"/>
      <c r="G208" s="7" t="str">
        <f aca="false">IF(E208="","",ROUND(E208*F208,2))</f>
        <v/>
      </c>
      <c r="H208" s="7" t="str">
        <f aca="false">IF(E208="","",E208+G208)</f>
        <v/>
      </c>
      <c r="I208" s="4"/>
      <c r="J208" s="4"/>
      <c r="K208" s="4"/>
    </row>
    <row r="209" customFormat="false" ht="15" hidden="false" customHeight="false" outlineLevel="0" collapsed="false">
      <c r="A209" s="2"/>
      <c r="B209" s="3" t="str">
        <f aca="false">IF(A209="","",MONTH(A209))</f>
        <v/>
      </c>
      <c r="C209" s="4"/>
      <c r="D209" s="4"/>
      <c r="E209" s="5"/>
      <c r="F209" s="6"/>
      <c r="G209" s="7" t="str">
        <f aca="false">IF(E209="","",ROUND(E209*F209,2))</f>
        <v/>
      </c>
      <c r="H209" s="7" t="str">
        <f aca="false">IF(E209="","",E209+G209)</f>
        <v/>
      </c>
      <c r="I209" s="4"/>
      <c r="J209" s="4"/>
      <c r="K209" s="4"/>
    </row>
    <row r="210" customFormat="false" ht="15" hidden="false" customHeight="false" outlineLevel="0" collapsed="false">
      <c r="A210" s="2"/>
      <c r="B210" s="3" t="str">
        <f aca="false">IF(A210="","",MONTH(A210))</f>
        <v/>
      </c>
      <c r="C210" s="4"/>
      <c r="D210" s="4"/>
      <c r="E210" s="5"/>
      <c r="F210" s="6"/>
      <c r="G210" s="7" t="str">
        <f aca="false">IF(E210="","",ROUND(E210*F210,2))</f>
        <v/>
      </c>
      <c r="H210" s="7" t="str">
        <f aca="false">IF(E210="","",E210+G210)</f>
        <v/>
      </c>
      <c r="I210" s="4"/>
      <c r="J210" s="4"/>
      <c r="K210" s="4"/>
    </row>
    <row r="211" customFormat="false" ht="15" hidden="false" customHeight="false" outlineLevel="0" collapsed="false">
      <c r="A211" s="2"/>
      <c r="B211" s="3" t="str">
        <f aca="false">IF(A211="","",MONTH(A211))</f>
        <v/>
      </c>
      <c r="C211" s="4"/>
      <c r="D211" s="4"/>
      <c r="E211" s="5"/>
      <c r="F211" s="6"/>
      <c r="G211" s="7" t="str">
        <f aca="false">IF(E211="","",ROUND(E211*F211,2))</f>
        <v/>
      </c>
      <c r="H211" s="7" t="str">
        <f aca="false">IF(E211="","",E211+G211)</f>
        <v/>
      </c>
      <c r="I211" s="4"/>
      <c r="J211" s="4"/>
      <c r="K211" s="4"/>
    </row>
    <row r="212" customFormat="false" ht="15" hidden="false" customHeight="false" outlineLevel="0" collapsed="false">
      <c r="A212" s="2"/>
      <c r="B212" s="3" t="str">
        <f aca="false">IF(A212="","",MONTH(A212))</f>
        <v/>
      </c>
      <c r="C212" s="4"/>
      <c r="D212" s="4"/>
      <c r="E212" s="5"/>
      <c r="F212" s="6"/>
      <c r="G212" s="7" t="str">
        <f aca="false">IF(E212="","",ROUND(E212*F212,2))</f>
        <v/>
      </c>
      <c r="H212" s="7" t="str">
        <f aca="false">IF(E212="","",E212+G212)</f>
        <v/>
      </c>
      <c r="I212" s="4"/>
      <c r="J212" s="4"/>
      <c r="K212" s="4"/>
    </row>
    <row r="213" customFormat="false" ht="15" hidden="false" customHeight="false" outlineLevel="0" collapsed="false">
      <c r="A213" s="2"/>
      <c r="B213" s="3" t="str">
        <f aca="false">IF(A213="","",MONTH(A213))</f>
        <v/>
      </c>
      <c r="C213" s="4"/>
      <c r="D213" s="4"/>
      <c r="E213" s="5"/>
      <c r="F213" s="6"/>
      <c r="G213" s="7" t="str">
        <f aca="false">IF(E213="","",ROUND(E213*F213,2))</f>
        <v/>
      </c>
      <c r="H213" s="7" t="str">
        <f aca="false">IF(E213="","",E213+G213)</f>
        <v/>
      </c>
      <c r="I213" s="4"/>
      <c r="J213" s="4"/>
      <c r="K213" s="4"/>
    </row>
    <row r="214" customFormat="false" ht="15" hidden="false" customHeight="false" outlineLevel="0" collapsed="false">
      <c r="A214" s="2"/>
      <c r="B214" s="3" t="str">
        <f aca="false">IF(A214="","",MONTH(A214))</f>
        <v/>
      </c>
      <c r="C214" s="4"/>
      <c r="D214" s="4"/>
      <c r="E214" s="5"/>
      <c r="F214" s="6"/>
      <c r="G214" s="7" t="str">
        <f aca="false">IF(E214="","",ROUND(E214*F214,2))</f>
        <v/>
      </c>
      <c r="H214" s="7" t="str">
        <f aca="false">IF(E214="","",E214+G214)</f>
        <v/>
      </c>
      <c r="I214" s="4"/>
      <c r="J214" s="4"/>
      <c r="K214" s="4"/>
    </row>
    <row r="215" customFormat="false" ht="15" hidden="false" customHeight="false" outlineLevel="0" collapsed="false">
      <c r="A215" s="2"/>
      <c r="B215" s="3" t="str">
        <f aca="false">IF(A215="","",MONTH(A215))</f>
        <v/>
      </c>
      <c r="C215" s="4"/>
      <c r="D215" s="4"/>
      <c r="E215" s="5"/>
      <c r="F215" s="6"/>
      <c r="G215" s="7" t="str">
        <f aca="false">IF(E215="","",ROUND(E215*F215,2))</f>
        <v/>
      </c>
      <c r="H215" s="7" t="str">
        <f aca="false">IF(E215="","",E215+G215)</f>
        <v/>
      </c>
      <c r="I215" s="4"/>
      <c r="J215" s="4"/>
      <c r="K215" s="4"/>
    </row>
    <row r="216" customFormat="false" ht="15" hidden="false" customHeight="false" outlineLevel="0" collapsed="false">
      <c r="A216" s="2"/>
      <c r="B216" s="3" t="str">
        <f aca="false">IF(A216="","",MONTH(A216))</f>
        <v/>
      </c>
      <c r="C216" s="4"/>
      <c r="D216" s="4"/>
      <c r="E216" s="5"/>
      <c r="F216" s="6"/>
      <c r="G216" s="7" t="str">
        <f aca="false">IF(E216="","",ROUND(E216*F216,2))</f>
        <v/>
      </c>
      <c r="H216" s="7" t="str">
        <f aca="false">IF(E216="","",E216+G216)</f>
        <v/>
      </c>
      <c r="I216" s="4"/>
      <c r="J216" s="4"/>
      <c r="K216" s="4"/>
    </row>
    <row r="217" customFormat="false" ht="15" hidden="false" customHeight="false" outlineLevel="0" collapsed="false">
      <c r="A217" s="2"/>
      <c r="B217" s="3" t="str">
        <f aca="false">IF(A217="","",MONTH(A217))</f>
        <v/>
      </c>
      <c r="C217" s="4"/>
      <c r="D217" s="4"/>
      <c r="E217" s="5"/>
      <c r="F217" s="6"/>
      <c r="G217" s="7" t="str">
        <f aca="false">IF(E217="","",ROUND(E217*F217,2))</f>
        <v/>
      </c>
      <c r="H217" s="7" t="str">
        <f aca="false">IF(E217="","",E217+G217)</f>
        <v/>
      </c>
      <c r="I217" s="4"/>
      <c r="J217" s="4"/>
      <c r="K217" s="4"/>
    </row>
    <row r="218" customFormat="false" ht="15" hidden="false" customHeight="false" outlineLevel="0" collapsed="false">
      <c r="A218" s="2"/>
      <c r="B218" s="3" t="str">
        <f aca="false">IF(A218="","",MONTH(A218))</f>
        <v/>
      </c>
      <c r="C218" s="4"/>
      <c r="D218" s="4"/>
      <c r="E218" s="5"/>
      <c r="F218" s="6"/>
      <c r="G218" s="7" t="str">
        <f aca="false">IF(E218="","",ROUND(E218*F218,2))</f>
        <v/>
      </c>
      <c r="H218" s="7" t="str">
        <f aca="false">IF(E218="","",E218+G218)</f>
        <v/>
      </c>
      <c r="I218" s="4"/>
      <c r="J218" s="4"/>
      <c r="K218" s="4"/>
    </row>
    <row r="219" customFormat="false" ht="15" hidden="false" customHeight="false" outlineLevel="0" collapsed="false">
      <c r="A219" s="2"/>
      <c r="B219" s="3" t="str">
        <f aca="false">IF(A219="","",MONTH(A219))</f>
        <v/>
      </c>
      <c r="C219" s="4"/>
      <c r="D219" s="4"/>
      <c r="E219" s="5"/>
      <c r="F219" s="6"/>
      <c r="G219" s="7" t="str">
        <f aca="false">IF(E219="","",ROUND(E219*F219,2))</f>
        <v/>
      </c>
      <c r="H219" s="7" t="str">
        <f aca="false">IF(E219="","",E219+G219)</f>
        <v/>
      </c>
      <c r="I219" s="4"/>
      <c r="J219" s="4"/>
      <c r="K219" s="4"/>
    </row>
    <row r="220" customFormat="false" ht="15" hidden="false" customHeight="false" outlineLevel="0" collapsed="false">
      <c r="A220" s="2"/>
      <c r="B220" s="3" t="str">
        <f aca="false">IF(A220="","",MONTH(A220))</f>
        <v/>
      </c>
      <c r="C220" s="4"/>
      <c r="D220" s="4"/>
      <c r="E220" s="5"/>
      <c r="F220" s="6"/>
      <c r="G220" s="7" t="str">
        <f aca="false">IF(E220="","",ROUND(E220*F220,2))</f>
        <v/>
      </c>
      <c r="H220" s="7" t="str">
        <f aca="false">IF(E220="","",E220+G220)</f>
        <v/>
      </c>
      <c r="I220" s="4"/>
      <c r="J220" s="4"/>
      <c r="K220" s="4"/>
    </row>
    <row r="221" customFormat="false" ht="15" hidden="false" customHeight="false" outlineLevel="0" collapsed="false">
      <c r="A221" s="2"/>
      <c r="B221" s="3" t="str">
        <f aca="false">IF(A221="","",MONTH(A221))</f>
        <v/>
      </c>
      <c r="C221" s="4"/>
      <c r="D221" s="4"/>
      <c r="E221" s="5"/>
      <c r="F221" s="6"/>
      <c r="G221" s="7" t="str">
        <f aca="false">IF(E221="","",ROUND(E221*F221,2))</f>
        <v/>
      </c>
      <c r="H221" s="7" t="str">
        <f aca="false">IF(E221="","",E221+G221)</f>
        <v/>
      </c>
      <c r="I221" s="4"/>
      <c r="J221" s="4"/>
      <c r="K221" s="4"/>
    </row>
    <row r="222" customFormat="false" ht="15" hidden="false" customHeight="false" outlineLevel="0" collapsed="false">
      <c r="A222" s="2"/>
      <c r="B222" s="3" t="str">
        <f aca="false">IF(A222="","",MONTH(A222))</f>
        <v/>
      </c>
      <c r="C222" s="4"/>
      <c r="D222" s="4"/>
      <c r="E222" s="5"/>
      <c r="F222" s="6"/>
      <c r="G222" s="7" t="str">
        <f aca="false">IF(E222="","",ROUND(E222*F222,2))</f>
        <v/>
      </c>
      <c r="H222" s="7" t="str">
        <f aca="false">IF(E222="","",E222+G222)</f>
        <v/>
      </c>
      <c r="I222" s="4"/>
      <c r="J222" s="4"/>
      <c r="K222" s="4"/>
    </row>
    <row r="223" customFormat="false" ht="15" hidden="false" customHeight="false" outlineLevel="0" collapsed="false">
      <c r="A223" s="2"/>
      <c r="B223" s="3" t="str">
        <f aca="false">IF(A223="","",MONTH(A223))</f>
        <v/>
      </c>
      <c r="C223" s="4"/>
      <c r="D223" s="4"/>
      <c r="E223" s="5"/>
      <c r="F223" s="6"/>
      <c r="G223" s="7" t="str">
        <f aca="false">IF(E223="","",ROUND(E223*F223,2))</f>
        <v/>
      </c>
      <c r="H223" s="7" t="str">
        <f aca="false">IF(E223="","",E223+G223)</f>
        <v/>
      </c>
      <c r="I223" s="4"/>
      <c r="J223" s="4"/>
      <c r="K223" s="4"/>
    </row>
    <row r="224" customFormat="false" ht="15" hidden="false" customHeight="false" outlineLevel="0" collapsed="false">
      <c r="A224" s="2"/>
      <c r="B224" s="3" t="str">
        <f aca="false">IF(A224="","",MONTH(A224))</f>
        <v/>
      </c>
      <c r="C224" s="4"/>
      <c r="D224" s="4"/>
      <c r="E224" s="5"/>
      <c r="F224" s="6"/>
      <c r="G224" s="7" t="str">
        <f aca="false">IF(E224="","",ROUND(E224*F224,2))</f>
        <v/>
      </c>
      <c r="H224" s="7" t="str">
        <f aca="false">IF(E224="","",E224+G224)</f>
        <v/>
      </c>
      <c r="I224" s="4"/>
      <c r="J224" s="4"/>
      <c r="K224" s="4"/>
    </row>
    <row r="225" customFormat="false" ht="15" hidden="false" customHeight="false" outlineLevel="0" collapsed="false">
      <c r="A225" s="2"/>
      <c r="B225" s="3" t="str">
        <f aca="false">IF(A225="","",MONTH(A225))</f>
        <v/>
      </c>
      <c r="C225" s="4"/>
      <c r="D225" s="4"/>
      <c r="E225" s="5"/>
      <c r="F225" s="6"/>
      <c r="G225" s="7" t="str">
        <f aca="false">IF(E225="","",ROUND(E225*F225,2))</f>
        <v/>
      </c>
      <c r="H225" s="7" t="str">
        <f aca="false">IF(E225="","",E225+G225)</f>
        <v/>
      </c>
      <c r="I225" s="4"/>
      <c r="J225" s="4"/>
      <c r="K225" s="4"/>
    </row>
    <row r="226" customFormat="false" ht="15" hidden="false" customHeight="false" outlineLevel="0" collapsed="false">
      <c r="A226" s="2"/>
      <c r="B226" s="3" t="str">
        <f aca="false">IF(A226="","",MONTH(A226))</f>
        <v/>
      </c>
      <c r="C226" s="4"/>
      <c r="D226" s="4"/>
      <c r="E226" s="5"/>
      <c r="F226" s="6"/>
      <c r="G226" s="7" t="str">
        <f aca="false">IF(E226="","",ROUND(E226*F226,2))</f>
        <v/>
      </c>
      <c r="H226" s="7" t="str">
        <f aca="false">IF(E226="","",E226+G226)</f>
        <v/>
      </c>
      <c r="I226" s="4"/>
      <c r="J226" s="4"/>
      <c r="K226" s="4"/>
    </row>
    <row r="227" customFormat="false" ht="15" hidden="false" customHeight="false" outlineLevel="0" collapsed="false">
      <c r="A227" s="2"/>
      <c r="B227" s="3" t="str">
        <f aca="false">IF(A227="","",MONTH(A227))</f>
        <v/>
      </c>
      <c r="C227" s="4"/>
      <c r="D227" s="4"/>
      <c r="E227" s="5"/>
      <c r="F227" s="6"/>
      <c r="G227" s="7" t="str">
        <f aca="false">IF(E227="","",ROUND(E227*F227,2))</f>
        <v/>
      </c>
      <c r="H227" s="7" t="str">
        <f aca="false">IF(E227="","",E227+G227)</f>
        <v/>
      </c>
      <c r="I227" s="4"/>
      <c r="J227" s="4"/>
      <c r="K227" s="4"/>
    </row>
    <row r="228" customFormat="false" ht="15" hidden="false" customHeight="false" outlineLevel="0" collapsed="false">
      <c r="A228" s="2"/>
      <c r="B228" s="3" t="str">
        <f aca="false">IF(A228="","",MONTH(A228))</f>
        <v/>
      </c>
      <c r="C228" s="4"/>
      <c r="D228" s="4"/>
      <c r="E228" s="5"/>
      <c r="F228" s="6"/>
      <c r="G228" s="7" t="str">
        <f aca="false">IF(E228="","",ROUND(E228*F228,2))</f>
        <v/>
      </c>
      <c r="H228" s="7" t="str">
        <f aca="false">IF(E228="","",E228+G228)</f>
        <v/>
      </c>
      <c r="I228" s="4"/>
      <c r="J228" s="4"/>
      <c r="K228" s="4"/>
    </row>
    <row r="229" customFormat="false" ht="15" hidden="false" customHeight="false" outlineLevel="0" collapsed="false">
      <c r="A229" s="2"/>
      <c r="B229" s="3" t="str">
        <f aca="false">IF(A229="","",MONTH(A229))</f>
        <v/>
      </c>
      <c r="C229" s="4"/>
      <c r="D229" s="4"/>
      <c r="E229" s="5"/>
      <c r="F229" s="6"/>
      <c r="G229" s="7" t="str">
        <f aca="false">IF(E229="","",ROUND(E229*F229,2))</f>
        <v/>
      </c>
      <c r="H229" s="7" t="str">
        <f aca="false">IF(E229="","",E229+G229)</f>
        <v/>
      </c>
      <c r="I229" s="4"/>
      <c r="J229" s="4"/>
      <c r="K229" s="4"/>
    </row>
    <row r="230" customFormat="false" ht="15" hidden="false" customHeight="false" outlineLevel="0" collapsed="false">
      <c r="A230" s="2"/>
      <c r="B230" s="3" t="str">
        <f aca="false">IF(A230="","",MONTH(A230))</f>
        <v/>
      </c>
      <c r="C230" s="4"/>
      <c r="D230" s="4"/>
      <c r="E230" s="5"/>
      <c r="F230" s="6"/>
      <c r="G230" s="7" t="str">
        <f aca="false">IF(E230="","",ROUND(E230*F230,2))</f>
        <v/>
      </c>
      <c r="H230" s="7" t="str">
        <f aca="false">IF(E230="","",E230+G230)</f>
        <v/>
      </c>
      <c r="I230" s="4"/>
      <c r="J230" s="4"/>
      <c r="K230" s="4"/>
    </row>
    <row r="231" customFormat="false" ht="15" hidden="false" customHeight="false" outlineLevel="0" collapsed="false">
      <c r="A231" s="2"/>
      <c r="B231" s="3" t="str">
        <f aca="false">IF(A231="","",MONTH(A231))</f>
        <v/>
      </c>
      <c r="C231" s="4"/>
      <c r="D231" s="4"/>
      <c r="E231" s="5"/>
      <c r="F231" s="6"/>
      <c r="G231" s="7" t="str">
        <f aca="false">IF(E231="","",ROUND(E231*F231,2))</f>
        <v/>
      </c>
      <c r="H231" s="7" t="str">
        <f aca="false">IF(E231="","",E231+G231)</f>
        <v/>
      </c>
      <c r="I231" s="4"/>
      <c r="J231" s="4"/>
      <c r="K231" s="4"/>
    </row>
    <row r="232" customFormat="false" ht="15" hidden="false" customHeight="false" outlineLevel="0" collapsed="false">
      <c r="A232" s="2"/>
      <c r="B232" s="3" t="str">
        <f aca="false">IF(A232="","",MONTH(A232))</f>
        <v/>
      </c>
      <c r="C232" s="4"/>
      <c r="D232" s="4"/>
      <c r="E232" s="5"/>
      <c r="F232" s="6"/>
      <c r="G232" s="7" t="str">
        <f aca="false">IF(E232="","",ROUND(E232*F232,2))</f>
        <v/>
      </c>
      <c r="H232" s="7" t="str">
        <f aca="false">IF(E232="","",E232+G232)</f>
        <v/>
      </c>
      <c r="I232" s="4"/>
      <c r="J232" s="4"/>
      <c r="K232" s="4"/>
    </row>
    <row r="233" customFormat="false" ht="15" hidden="false" customHeight="false" outlineLevel="0" collapsed="false">
      <c r="A233" s="2"/>
      <c r="B233" s="3" t="str">
        <f aca="false">IF(A233="","",MONTH(A233))</f>
        <v/>
      </c>
      <c r="C233" s="4"/>
      <c r="D233" s="4"/>
      <c r="E233" s="5"/>
      <c r="F233" s="6"/>
      <c r="G233" s="7" t="str">
        <f aca="false">IF(E233="","",ROUND(E233*F233,2))</f>
        <v/>
      </c>
      <c r="H233" s="7" t="str">
        <f aca="false">IF(E233="","",E233+G233)</f>
        <v/>
      </c>
      <c r="I233" s="4"/>
      <c r="J233" s="4"/>
      <c r="K233" s="4"/>
    </row>
    <row r="234" customFormat="false" ht="15" hidden="false" customHeight="false" outlineLevel="0" collapsed="false">
      <c r="A234" s="2"/>
      <c r="B234" s="3" t="str">
        <f aca="false">IF(A234="","",MONTH(A234))</f>
        <v/>
      </c>
      <c r="C234" s="4"/>
      <c r="D234" s="4"/>
      <c r="E234" s="5"/>
      <c r="F234" s="6"/>
      <c r="G234" s="7" t="str">
        <f aca="false">IF(E234="","",ROUND(E234*F234,2))</f>
        <v/>
      </c>
      <c r="H234" s="7" t="str">
        <f aca="false">IF(E234="","",E234+G234)</f>
        <v/>
      </c>
      <c r="I234" s="4"/>
      <c r="J234" s="4"/>
      <c r="K234" s="4"/>
    </row>
    <row r="235" customFormat="false" ht="15" hidden="false" customHeight="false" outlineLevel="0" collapsed="false">
      <c r="A235" s="2"/>
      <c r="B235" s="3" t="str">
        <f aca="false">IF(A235="","",MONTH(A235))</f>
        <v/>
      </c>
      <c r="C235" s="4"/>
      <c r="D235" s="4"/>
      <c r="E235" s="5"/>
      <c r="F235" s="6"/>
      <c r="G235" s="7" t="str">
        <f aca="false">IF(E235="","",ROUND(E235*F235,2))</f>
        <v/>
      </c>
      <c r="H235" s="7" t="str">
        <f aca="false">IF(E235="","",E235+G235)</f>
        <v/>
      </c>
      <c r="I235" s="4"/>
      <c r="J235" s="4"/>
      <c r="K235" s="4"/>
    </row>
    <row r="236" customFormat="false" ht="15" hidden="false" customHeight="false" outlineLevel="0" collapsed="false">
      <c r="A236" s="2"/>
      <c r="B236" s="3" t="str">
        <f aca="false">IF(A236="","",MONTH(A236))</f>
        <v/>
      </c>
      <c r="C236" s="4"/>
      <c r="D236" s="4"/>
      <c r="E236" s="5"/>
      <c r="F236" s="6"/>
      <c r="G236" s="7" t="str">
        <f aca="false">IF(E236="","",ROUND(E236*F236,2))</f>
        <v/>
      </c>
      <c r="H236" s="7" t="str">
        <f aca="false">IF(E236="","",E236+G236)</f>
        <v/>
      </c>
      <c r="I236" s="4"/>
      <c r="J236" s="4"/>
      <c r="K236" s="4"/>
    </row>
    <row r="237" customFormat="false" ht="15" hidden="false" customHeight="false" outlineLevel="0" collapsed="false">
      <c r="A237" s="2"/>
      <c r="B237" s="3" t="str">
        <f aca="false">IF(A237="","",MONTH(A237))</f>
        <v/>
      </c>
      <c r="C237" s="4"/>
      <c r="D237" s="4"/>
      <c r="E237" s="5"/>
      <c r="F237" s="6"/>
      <c r="G237" s="7" t="str">
        <f aca="false">IF(E237="","",ROUND(E237*F237,2))</f>
        <v/>
      </c>
      <c r="H237" s="7" t="str">
        <f aca="false">IF(E237="","",E237+G237)</f>
        <v/>
      </c>
      <c r="I237" s="4"/>
      <c r="J237" s="4"/>
      <c r="K237" s="4"/>
    </row>
    <row r="238" customFormat="false" ht="15" hidden="false" customHeight="false" outlineLevel="0" collapsed="false">
      <c r="A238" s="2"/>
      <c r="B238" s="3" t="str">
        <f aca="false">IF(A238="","",MONTH(A238))</f>
        <v/>
      </c>
      <c r="C238" s="4"/>
      <c r="D238" s="4"/>
      <c r="E238" s="5"/>
      <c r="F238" s="6"/>
      <c r="G238" s="7" t="str">
        <f aca="false">IF(E238="","",ROUND(E238*F238,2))</f>
        <v/>
      </c>
      <c r="H238" s="7" t="str">
        <f aca="false">IF(E238="","",E238+G238)</f>
        <v/>
      </c>
      <c r="I238" s="4"/>
      <c r="J238" s="4"/>
      <c r="K238" s="4"/>
    </row>
    <row r="239" customFormat="false" ht="15" hidden="false" customHeight="false" outlineLevel="0" collapsed="false">
      <c r="A239" s="2"/>
      <c r="B239" s="3" t="str">
        <f aca="false">IF(A239="","",MONTH(A239))</f>
        <v/>
      </c>
      <c r="C239" s="4"/>
      <c r="D239" s="4"/>
      <c r="E239" s="5"/>
      <c r="F239" s="6"/>
      <c r="G239" s="7" t="str">
        <f aca="false">IF(E239="","",ROUND(E239*F239,2))</f>
        <v/>
      </c>
      <c r="H239" s="7" t="str">
        <f aca="false">IF(E239="","",E239+G239)</f>
        <v/>
      </c>
      <c r="I239" s="4"/>
      <c r="J239" s="4"/>
      <c r="K239" s="4"/>
    </row>
    <row r="240" customFormat="false" ht="15" hidden="false" customHeight="false" outlineLevel="0" collapsed="false">
      <c r="A240" s="2"/>
      <c r="B240" s="3" t="str">
        <f aca="false">IF(A240="","",MONTH(A240))</f>
        <v/>
      </c>
      <c r="C240" s="4"/>
      <c r="D240" s="4"/>
      <c r="E240" s="5"/>
      <c r="F240" s="6"/>
      <c r="G240" s="7" t="str">
        <f aca="false">IF(E240="","",ROUND(E240*F240,2))</f>
        <v/>
      </c>
      <c r="H240" s="7" t="str">
        <f aca="false">IF(E240="","",E240+G240)</f>
        <v/>
      </c>
      <c r="I240" s="4"/>
      <c r="J240" s="4"/>
      <c r="K240" s="4"/>
    </row>
    <row r="241" customFormat="false" ht="15" hidden="false" customHeight="false" outlineLevel="0" collapsed="false">
      <c r="A241" s="2"/>
      <c r="B241" s="3" t="str">
        <f aca="false">IF(A241="","",MONTH(A241))</f>
        <v/>
      </c>
      <c r="C241" s="4"/>
      <c r="D241" s="4"/>
      <c r="E241" s="5"/>
      <c r="F241" s="6"/>
      <c r="G241" s="7" t="str">
        <f aca="false">IF(E241="","",ROUND(E241*F241,2))</f>
        <v/>
      </c>
      <c r="H241" s="7" t="str">
        <f aca="false">IF(E241="","",E241+G241)</f>
        <v/>
      </c>
      <c r="I241" s="4"/>
      <c r="J241" s="4"/>
      <c r="K241" s="4"/>
    </row>
    <row r="242" customFormat="false" ht="15" hidden="false" customHeight="false" outlineLevel="0" collapsed="false">
      <c r="A242" s="2"/>
      <c r="B242" s="3" t="str">
        <f aca="false">IF(A242="","",MONTH(A242))</f>
        <v/>
      </c>
      <c r="C242" s="4"/>
      <c r="D242" s="4"/>
      <c r="E242" s="5"/>
      <c r="F242" s="6"/>
      <c r="G242" s="7" t="str">
        <f aca="false">IF(E242="","",ROUND(E242*F242,2))</f>
        <v/>
      </c>
      <c r="H242" s="7" t="str">
        <f aca="false">IF(E242="","",E242+G242)</f>
        <v/>
      </c>
      <c r="I242" s="4"/>
      <c r="J242" s="4"/>
      <c r="K242" s="4"/>
    </row>
    <row r="243" customFormat="false" ht="15" hidden="false" customHeight="false" outlineLevel="0" collapsed="false">
      <c r="A243" s="2"/>
      <c r="B243" s="3" t="str">
        <f aca="false">IF(A243="","",MONTH(A243))</f>
        <v/>
      </c>
      <c r="C243" s="4"/>
      <c r="D243" s="4"/>
      <c r="E243" s="5"/>
      <c r="F243" s="6"/>
      <c r="G243" s="7" t="str">
        <f aca="false">IF(E243="","",ROUND(E243*F243,2))</f>
        <v/>
      </c>
      <c r="H243" s="7" t="str">
        <f aca="false">IF(E243="","",E243+G243)</f>
        <v/>
      </c>
      <c r="I243" s="4"/>
      <c r="J243" s="4"/>
      <c r="K243" s="4"/>
    </row>
    <row r="244" customFormat="false" ht="15" hidden="false" customHeight="false" outlineLevel="0" collapsed="false">
      <c r="A244" s="2"/>
      <c r="B244" s="3" t="str">
        <f aca="false">IF(A244="","",MONTH(A244))</f>
        <v/>
      </c>
      <c r="C244" s="4"/>
      <c r="D244" s="4"/>
      <c r="E244" s="5"/>
      <c r="F244" s="6"/>
      <c r="G244" s="7" t="str">
        <f aca="false">IF(E244="","",ROUND(E244*F244,2))</f>
        <v/>
      </c>
      <c r="H244" s="7" t="str">
        <f aca="false">IF(E244="","",E244+G244)</f>
        <v/>
      </c>
      <c r="I244" s="4"/>
      <c r="J244" s="4"/>
      <c r="K244" s="4"/>
    </row>
    <row r="245" customFormat="false" ht="15" hidden="false" customHeight="false" outlineLevel="0" collapsed="false">
      <c r="A245" s="2"/>
      <c r="B245" s="3" t="str">
        <f aca="false">IF(A245="","",MONTH(A245))</f>
        <v/>
      </c>
      <c r="C245" s="4"/>
      <c r="D245" s="4"/>
      <c r="E245" s="5"/>
      <c r="F245" s="6"/>
      <c r="G245" s="7" t="str">
        <f aca="false">IF(E245="","",ROUND(E245*F245,2))</f>
        <v/>
      </c>
      <c r="H245" s="7" t="str">
        <f aca="false">IF(E245="","",E245+G245)</f>
        <v/>
      </c>
      <c r="I245" s="4"/>
      <c r="J245" s="4"/>
      <c r="K245" s="4"/>
    </row>
    <row r="246" customFormat="false" ht="15" hidden="false" customHeight="false" outlineLevel="0" collapsed="false">
      <c r="A246" s="2"/>
      <c r="B246" s="3" t="str">
        <f aca="false">IF(A246="","",MONTH(A246))</f>
        <v/>
      </c>
      <c r="C246" s="4"/>
      <c r="D246" s="4"/>
      <c r="E246" s="5"/>
      <c r="F246" s="6"/>
      <c r="G246" s="7" t="str">
        <f aca="false">IF(E246="","",ROUND(E246*F246,2))</f>
        <v/>
      </c>
      <c r="H246" s="7" t="str">
        <f aca="false">IF(E246="","",E246+G246)</f>
        <v/>
      </c>
      <c r="I246" s="4"/>
      <c r="J246" s="4"/>
      <c r="K246" s="4"/>
    </row>
    <row r="247" customFormat="false" ht="15" hidden="false" customHeight="false" outlineLevel="0" collapsed="false">
      <c r="A247" s="2"/>
      <c r="B247" s="3" t="str">
        <f aca="false">IF(A247="","",MONTH(A247))</f>
        <v/>
      </c>
      <c r="C247" s="4"/>
      <c r="D247" s="4"/>
      <c r="E247" s="5"/>
      <c r="F247" s="6"/>
      <c r="G247" s="7" t="str">
        <f aca="false">IF(E247="","",ROUND(E247*F247,2))</f>
        <v/>
      </c>
      <c r="H247" s="7" t="str">
        <f aca="false">IF(E247="","",E247+G247)</f>
        <v/>
      </c>
      <c r="I247" s="4"/>
      <c r="J247" s="4"/>
      <c r="K247" s="4"/>
    </row>
    <row r="248" customFormat="false" ht="15" hidden="false" customHeight="false" outlineLevel="0" collapsed="false">
      <c r="A248" s="2"/>
      <c r="B248" s="3" t="str">
        <f aca="false">IF(A248="","",MONTH(A248))</f>
        <v/>
      </c>
      <c r="C248" s="4"/>
      <c r="D248" s="4"/>
      <c r="E248" s="5"/>
      <c r="F248" s="6"/>
      <c r="G248" s="7" t="str">
        <f aca="false">IF(E248="","",ROUND(E248*F248,2))</f>
        <v/>
      </c>
      <c r="H248" s="7" t="str">
        <f aca="false">IF(E248="","",E248+G248)</f>
        <v/>
      </c>
      <c r="I248" s="4"/>
      <c r="J248" s="4"/>
      <c r="K248" s="4"/>
    </row>
    <row r="249" customFormat="false" ht="15" hidden="false" customHeight="false" outlineLevel="0" collapsed="false">
      <c r="A249" s="2"/>
      <c r="B249" s="3" t="str">
        <f aca="false">IF(A249="","",MONTH(A249))</f>
        <v/>
      </c>
      <c r="C249" s="4"/>
      <c r="D249" s="4"/>
      <c r="E249" s="5"/>
      <c r="F249" s="6"/>
      <c r="G249" s="7" t="str">
        <f aca="false">IF(E249="","",ROUND(E249*F249,2))</f>
        <v/>
      </c>
      <c r="H249" s="7" t="str">
        <f aca="false">IF(E249="","",E249+G249)</f>
        <v/>
      </c>
      <c r="I249" s="4"/>
      <c r="J249" s="4"/>
      <c r="K249" s="4"/>
    </row>
    <row r="250" customFormat="false" ht="15" hidden="false" customHeight="false" outlineLevel="0" collapsed="false">
      <c r="A250" s="2"/>
      <c r="B250" s="3" t="str">
        <f aca="false">IF(A250="","",MONTH(A250))</f>
        <v/>
      </c>
      <c r="C250" s="4"/>
      <c r="D250" s="4"/>
      <c r="E250" s="5"/>
      <c r="F250" s="6"/>
      <c r="G250" s="7" t="str">
        <f aca="false">IF(E250="","",ROUND(E250*F250,2))</f>
        <v/>
      </c>
      <c r="H250" s="7" t="str">
        <f aca="false">IF(E250="","",E250+G250)</f>
        <v/>
      </c>
      <c r="I250" s="4"/>
      <c r="J250" s="4"/>
      <c r="K250" s="4"/>
    </row>
    <row r="251" customFormat="false" ht="15" hidden="false" customHeight="false" outlineLevel="0" collapsed="false">
      <c r="A251" s="2"/>
      <c r="B251" s="3" t="str">
        <f aca="false">IF(A251="","",MONTH(A251))</f>
        <v/>
      </c>
      <c r="C251" s="4"/>
      <c r="D251" s="4"/>
      <c r="E251" s="5"/>
      <c r="F251" s="6"/>
      <c r="G251" s="7" t="str">
        <f aca="false">IF(E251="","",ROUND(E251*F251,2))</f>
        <v/>
      </c>
      <c r="H251" s="7" t="str">
        <f aca="false">IF(E251="","",E251+G251)</f>
        <v/>
      </c>
      <c r="I251" s="4"/>
      <c r="J251" s="4"/>
      <c r="K251" s="4"/>
    </row>
    <row r="252" customFormat="false" ht="15" hidden="false" customHeight="false" outlineLevel="0" collapsed="false">
      <c r="A252" s="2"/>
      <c r="B252" s="3" t="str">
        <f aca="false">IF(A252="","",MONTH(A252))</f>
        <v/>
      </c>
      <c r="C252" s="4"/>
      <c r="D252" s="4"/>
      <c r="E252" s="5"/>
      <c r="F252" s="6"/>
      <c r="G252" s="7" t="str">
        <f aca="false">IF(E252="","",ROUND(E252*F252,2))</f>
        <v/>
      </c>
      <c r="H252" s="7" t="str">
        <f aca="false">IF(E252="","",E252+G252)</f>
        <v/>
      </c>
      <c r="I252" s="4"/>
      <c r="J252" s="4"/>
      <c r="K252" s="4"/>
    </row>
    <row r="253" customFormat="false" ht="15" hidden="false" customHeight="false" outlineLevel="0" collapsed="false">
      <c r="A253" s="2"/>
      <c r="B253" s="3" t="str">
        <f aca="false">IF(A253="","",MONTH(A253))</f>
        <v/>
      </c>
      <c r="C253" s="4"/>
      <c r="D253" s="4"/>
      <c r="E253" s="5"/>
      <c r="F253" s="6"/>
      <c r="G253" s="7" t="str">
        <f aca="false">IF(E253="","",ROUND(E253*F253,2))</f>
        <v/>
      </c>
      <c r="H253" s="7" t="str">
        <f aca="false">IF(E253="","",E253+G253)</f>
        <v/>
      </c>
      <c r="I253" s="4"/>
      <c r="J253" s="4"/>
      <c r="K253" s="4"/>
    </row>
    <row r="254" customFormat="false" ht="15" hidden="false" customHeight="false" outlineLevel="0" collapsed="false">
      <c r="A254" s="2"/>
      <c r="B254" s="3" t="str">
        <f aca="false">IF(A254="","",MONTH(A254))</f>
        <v/>
      </c>
      <c r="C254" s="4"/>
      <c r="D254" s="4"/>
      <c r="E254" s="5"/>
      <c r="F254" s="6"/>
      <c r="G254" s="7" t="str">
        <f aca="false">IF(E254="","",ROUND(E254*F254,2))</f>
        <v/>
      </c>
      <c r="H254" s="7" t="str">
        <f aca="false">IF(E254="","",E254+G254)</f>
        <v/>
      </c>
      <c r="I254" s="4"/>
      <c r="J254" s="4"/>
      <c r="K254" s="4"/>
    </row>
    <row r="255" customFormat="false" ht="15" hidden="false" customHeight="false" outlineLevel="0" collapsed="false">
      <c r="A255" s="2"/>
      <c r="B255" s="3" t="str">
        <f aca="false">IF(A255="","",MONTH(A255))</f>
        <v/>
      </c>
      <c r="C255" s="4"/>
      <c r="D255" s="4"/>
      <c r="E255" s="5"/>
      <c r="F255" s="6"/>
      <c r="G255" s="7" t="str">
        <f aca="false">IF(E255="","",ROUND(E255*F255,2))</f>
        <v/>
      </c>
      <c r="H255" s="7" t="str">
        <f aca="false">IF(E255="","",E255+G255)</f>
        <v/>
      </c>
      <c r="I255" s="4"/>
      <c r="J255" s="4"/>
      <c r="K255" s="4"/>
    </row>
    <row r="256" customFormat="false" ht="15" hidden="false" customHeight="false" outlineLevel="0" collapsed="false">
      <c r="A256" s="2"/>
      <c r="B256" s="3" t="str">
        <f aca="false">IF(A256="","",MONTH(A256))</f>
        <v/>
      </c>
      <c r="C256" s="4"/>
      <c r="D256" s="4"/>
      <c r="E256" s="5"/>
      <c r="F256" s="6"/>
      <c r="G256" s="7" t="str">
        <f aca="false">IF(E256="","",ROUND(E256*F256,2))</f>
        <v/>
      </c>
      <c r="H256" s="7" t="str">
        <f aca="false">IF(E256="","",E256+G256)</f>
        <v/>
      </c>
      <c r="I256" s="4"/>
      <c r="J256" s="4"/>
      <c r="K256" s="4"/>
    </row>
    <row r="257" customFormat="false" ht="15" hidden="false" customHeight="false" outlineLevel="0" collapsed="false">
      <c r="A257" s="2"/>
      <c r="B257" s="3" t="str">
        <f aca="false">IF(A257="","",MONTH(A257))</f>
        <v/>
      </c>
      <c r="C257" s="4"/>
      <c r="D257" s="4"/>
      <c r="E257" s="5"/>
      <c r="F257" s="6"/>
      <c r="G257" s="7" t="str">
        <f aca="false">IF(E257="","",ROUND(E257*F257,2))</f>
        <v/>
      </c>
      <c r="H257" s="7" t="str">
        <f aca="false">IF(E257="","",E257+G257)</f>
        <v/>
      </c>
      <c r="I257" s="4"/>
      <c r="J257" s="4"/>
      <c r="K257" s="4"/>
    </row>
    <row r="258" customFormat="false" ht="15" hidden="false" customHeight="false" outlineLevel="0" collapsed="false">
      <c r="A258" s="2"/>
      <c r="B258" s="3" t="str">
        <f aca="false">IF(A258="","",MONTH(A258))</f>
        <v/>
      </c>
      <c r="C258" s="4"/>
      <c r="D258" s="4"/>
      <c r="E258" s="5"/>
      <c r="F258" s="6"/>
      <c r="G258" s="7" t="str">
        <f aca="false">IF(E258="","",ROUND(E258*F258,2))</f>
        <v/>
      </c>
      <c r="H258" s="7" t="str">
        <f aca="false">IF(E258="","",E258+G258)</f>
        <v/>
      </c>
      <c r="I258" s="4"/>
      <c r="J258" s="4"/>
      <c r="K258" s="4"/>
    </row>
    <row r="259" customFormat="false" ht="15" hidden="false" customHeight="false" outlineLevel="0" collapsed="false">
      <c r="A259" s="2"/>
      <c r="B259" s="3" t="str">
        <f aca="false">IF(A259="","",MONTH(A259))</f>
        <v/>
      </c>
      <c r="C259" s="4"/>
      <c r="D259" s="4"/>
      <c r="E259" s="5"/>
      <c r="F259" s="6"/>
      <c r="G259" s="7" t="str">
        <f aca="false">IF(E259="","",ROUND(E259*F259,2))</f>
        <v/>
      </c>
      <c r="H259" s="7" t="str">
        <f aca="false">IF(E259="","",E259+G259)</f>
        <v/>
      </c>
      <c r="I259" s="4"/>
      <c r="J259" s="4"/>
      <c r="K259" s="4"/>
    </row>
    <row r="260" customFormat="false" ht="15" hidden="false" customHeight="false" outlineLevel="0" collapsed="false">
      <c r="A260" s="2"/>
      <c r="B260" s="3" t="str">
        <f aca="false">IF(A260="","",MONTH(A260))</f>
        <v/>
      </c>
      <c r="C260" s="4"/>
      <c r="D260" s="4"/>
      <c r="E260" s="5"/>
      <c r="F260" s="6"/>
      <c r="G260" s="7" t="str">
        <f aca="false">IF(E260="","",ROUND(E260*F260,2))</f>
        <v/>
      </c>
      <c r="H260" s="7" t="str">
        <f aca="false">IF(E260="","",E260+G260)</f>
        <v/>
      </c>
      <c r="I260" s="4"/>
      <c r="J260" s="4"/>
      <c r="K260" s="4"/>
    </row>
    <row r="261" customFormat="false" ht="15" hidden="false" customHeight="false" outlineLevel="0" collapsed="false">
      <c r="A261" s="2"/>
      <c r="B261" s="3" t="str">
        <f aca="false">IF(A261="","",MONTH(A261))</f>
        <v/>
      </c>
      <c r="C261" s="4"/>
      <c r="D261" s="4"/>
      <c r="E261" s="5"/>
      <c r="F261" s="6"/>
      <c r="G261" s="7" t="str">
        <f aca="false">IF(E261="","",ROUND(E261*F261,2))</f>
        <v/>
      </c>
      <c r="H261" s="7" t="str">
        <f aca="false">IF(E261="","",E261+G261)</f>
        <v/>
      </c>
      <c r="I261" s="4"/>
      <c r="J261" s="4"/>
      <c r="K261" s="4"/>
    </row>
    <row r="262" customFormat="false" ht="15" hidden="false" customHeight="false" outlineLevel="0" collapsed="false">
      <c r="A262" s="2"/>
      <c r="B262" s="3" t="str">
        <f aca="false">IF(A262="","",MONTH(A262))</f>
        <v/>
      </c>
      <c r="C262" s="4"/>
      <c r="D262" s="4"/>
      <c r="E262" s="5"/>
      <c r="F262" s="6"/>
      <c r="G262" s="7" t="str">
        <f aca="false">IF(E262="","",ROUND(E262*F262,2))</f>
        <v/>
      </c>
      <c r="H262" s="7" t="str">
        <f aca="false">IF(E262="","",E262+G262)</f>
        <v/>
      </c>
      <c r="I262" s="4"/>
      <c r="J262" s="4"/>
      <c r="K262" s="4"/>
    </row>
    <row r="263" customFormat="false" ht="15" hidden="false" customHeight="false" outlineLevel="0" collapsed="false">
      <c r="A263" s="2"/>
      <c r="B263" s="3" t="str">
        <f aca="false">IF(A263="","",MONTH(A263))</f>
        <v/>
      </c>
      <c r="C263" s="4"/>
      <c r="D263" s="4"/>
      <c r="E263" s="5"/>
      <c r="F263" s="6"/>
      <c r="G263" s="7" t="str">
        <f aca="false">IF(E263="","",ROUND(E263*F263,2))</f>
        <v/>
      </c>
      <c r="H263" s="7" t="str">
        <f aca="false">IF(E263="","",E263+G263)</f>
        <v/>
      </c>
      <c r="I263" s="4"/>
      <c r="J263" s="4"/>
      <c r="K263" s="4"/>
    </row>
    <row r="264" customFormat="false" ht="15" hidden="false" customHeight="false" outlineLevel="0" collapsed="false">
      <c r="A264" s="2"/>
      <c r="B264" s="3" t="str">
        <f aca="false">IF(A264="","",MONTH(A264))</f>
        <v/>
      </c>
      <c r="C264" s="4"/>
      <c r="D264" s="4"/>
      <c r="E264" s="5"/>
      <c r="F264" s="6"/>
      <c r="G264" s="7" t="str">
        <f aca="false">IF(E264="","",ROUND(E264*F264,2))</f>
        <v/>
      </c>
      <c r="H264" s="7" t="str">
        <f aca="false">IF(E264="","",E264+G264)</f>
        <v/>
      </c>
      <c r="I264" s="4"/>
      <c r="J264" s="4"/>
      <c r="K264" s="4"/>
    </row>
    <row r="265" customFormat="false" ht="15" hidden="false" customHeight="false" outlineLevel="0" collapsed="false">
      <c r="A265" s="2"/>
      <c r="B265" s="3" t="str">
        <f aca="false">IF(A265="","",MONTH(A265))</f>
        <v/>
      </c>
      <c r="C265" s="4"/>
      <c r="D265" s="4"/>
      <c r="E265" s="5"/>
      <c r="F265" s="6"/>
      <c r="G265" s="7" t="str">
        <f aca="false">IF(E265="","",ROUND(E265*F265,2))</f>
        <v/>
      </c>
      <c r="H265" s="7" t="str">
        <f aca="false">IF(E265="","",E265+G265)</f>
        <v/>
      </c>
      <c r="I265" s="4"/>
      <c r="J265" s="4"/>
      <c r="K265" s="4"/>
    </row>
    <row r="266" customFormat="false" ht="15" hidden="false" customHeight="false" outlineLevel="0" collapsed="false">
      <c r="A266" s="2"/>
      <c r="B266" s="3" t="str">
        <f aca="false">IF(A266="","",MONTH(A266))</f>
        <v/>
      </c>
      <c r="C266" s="4"/>
      <c r="D266" s="4"/>
      <c r="E266" s="5"/>
      <c r="F266" s="6"/>
      <c r="G266" s="7" t="str">
        <f aca="false">IF(E266="","",ROUND(E266*F266,2))</f>
        <v/>
      </c>
      <c r="H266" s="7" t="str">
        <f aca="false">IF(E266="","",E266+G266)</f>
        <v/>
      </c>
      <c r="I266" s="4"/>
      <c r="J266" s="4"/>
      <c r="K266" s="4"/>
    </row>
    <row r="267" customFormat="false" ht="15" hidden="false" customHeight="false" outlineLevel="0" collapsed="false">
      <c r="A267" s="2"/>
      <c r="B267" s="3" t="str">
        <f aca="false">IF(A267="","",MONTH(A267))</f>
        <v/>
      </c>
      <c r="C267" s="4"/>
      <c r="D267" s="4"/>
      <c r="E267" s="5"/>
      <c r="F267" s="6"/>
      <c r="G267" s="7" t="str">
        <f aca="false">IF(E267="","",ROUND(E267*F267,2))</f>
        <v/>
      </c>
      <c r="H267" s="7" t="str">
        <f aca="false">IF(E267="","",E267+G267)</f>
        <v/>
      </c>
      <c r="I267" s="4"/>
      <c r="J267" s="4"/>
      <c r="K267" s="4"/>
    </row>
    <row r="268" customFormat="false" ht="15" hidden="false" customHeight="false" outlineLevel="0" collapsed="false">
      <c r="A268" s="2"/>
      <c r="B268" s="3" t="str">
        <f aca="false">IF(A268="","",MONTH(A268))</f>
        <v/>
      </c>
      <c r="C268" s="4"/>
      <c r="D268" s="4"/>
      <c r="E268" s="5"/>
      <c r="F268" s="6"/>
      <c r="G268" s="7" t="str">
        <f aca="false">IF(E268="","",ROUND(E268*F268,2))</f>
        <v/>
      </c>
      <c r="H268" s="7" t="str">
        <f aca="false">IF(E268="","",E268+G268)</f>
        <v/>
      </c>
      <c r="I268" s="4"/>
      <c r="J268" s="4"/>
      <c r="K268" s="4"/>
    </row>
    <row r="269" customFormat="false" ht="15" hidden="false" customHeight="false" outlineLevel="0" collapsed="false">
      <c r="A269" s="2"/>
      <c r="B269" s="3" t="str">
        <f aca="false">IF(A269="","",MONTH(A269))</f>
        <v/>
      </c>
      <c r="C269" s="4"/>
      <c r="D269" s="4"/>
      <c r="E269" s="5"/>
      <c r="F269" s="6"/>
      <c r="G269" s="7" t="str">
        <f aca="false">IF(E269="","",ROUND(E269*F269,2))</f>
        <v/>
      </c>
      <c r="H269" s="7" t="str">
        <f aca="false">IF(E269="","",E269+G269)</f>
        <v/>
      </c>
      <c r="I269" s="4"/>
      <c r="J269" s="4"/>
      <c r="K269" s="4"/>
    </row>
    <row r="270" customFormat="false" ht="15" hidden="false" customHeight="false" outlineLevel="0" collapsed="false">
      <c r="A270" s="2"/>
      <c r="B270" s="3" t="str">
        <f aca="false">IF(A270="","",MONTH(A270))</f>
        <v/>
      </c>
      <c r="C270" s="4"/>
      <c r="D270" s="4"/>
      <c r="E270" s="5"/>
      <c r="F270" s="6"/>
      <c r="G270" s="7" t="str">
        <f aca="false">IF(E270="","",ROUND(E270*F270,2))</f>
        <v/>
      </c>
      <c r="H270" s="7" t="str">
        <f aca="false">IF(E270="","",E270+G270)</f>
        <v/>
      </c>
      <c r="I270" s="4"/>
      <c r="J270" s="4"/>
      <c r="K270" s="4"/>
    </row>
    <row r="271" customFormat="false" ht="15" hidden="false" customHeight="false" outlineLevel="0" collapsed="false">
      <c r="A271" s="2"/>
      <c r="B271" s="3" t="str">
        <f aca="false">IF(A271="","",MONTH(A271))</f>
        <v/>
      </c>
      <c r="C271" s="4"/>
      <c r="D271" s="4"/>
      <c r="E271" s="5"/>
      <c r="F271" s="6"/>
      <c r="G271" s="7" t="str">
        <f aca="false">IF(E271="","",ROUND(E271*F271,2))</f>
        <v/>
      </c>
      <c r="H271" s="7" t="str">
        <f aca="false">IF(E271="","",E271+G271)</f>
        <v/>
      </c>
      <c r="I271" s="4"/>
      <c r="J271" s="4"/>
      <c r="K271" s="4"/>
    </row>
    <row r="272" customFormat="false" ht="15" hidden="false" customHeight="false" outlineLevel="0" collapsed="false">
      <c r="A272" s="2"/>
      <c r="B272" s="3" t="str">
        <f aca="false">IF(A272="","",MONTH(A272))</f>
        <v/>
      </c>
      <c r="C272" s="4"/>
      <c r="D272" s="4"/>
      <c r="E272" s="5"/>
      <c r="F272" s="6"/>
      <c r="G272" s="7" t="str">
        <f aca="false">IF(E272="","",ROUND(E272*F272,2))</f>
        <v/>
      </c>
      <c r="H272" s="7" t="str">
        <f aca="false">IF(E272="","",E272+G272)</f>
        <v/>
      </c>
      <c r="I272" s="4"/>
      <c r="J272" s="4"/>
      <c r="K272" s="4"/>
    </row>
    <row r="273" customFormat="false" ht="15" hidden="false" customHeight="false" outlineLevel="0" collapsed="false">
      <c r="A273" s="2"/>
      <c r="B273" s="3" t="str">
        <f aca="false">IF(A273="","",MONTH(A273))</f>
        <v/>
      </c>
      <c r="C273" s="4"/>
      <c r="D273" s="4"/>
      <c r="E273" s="5"/>
      <c r="F273" s="6"/>
      <c r="G273" s="7" t="str">
        <f aca="false">IF(E273="","",ROUND(E273*F273,2))</f>
        <v/>
      </c>
      <c r="H273" s="7" t="str">
        <f aca="false">IF(E273="","",E273+G273)</f>
        <v/>
      </c>
      <c r="I273" s="4"/>
      <c r="J273" s="4"/>
      <c r="K273" s="4"/>
    </row>
    <row r="274" customFormat="false" ht="15" hidden="false" customHeight="false" outlineLevel="0" collapsed="false">
      <c r="A274" s="2"/>
      <c r="B274" s="3" t="str">
        <f aca="false">IF(A274="","",MONTH(A274))</f>
        <v/>
      </c>
      <c r="C274" s="4"/>
      <c r="D274" s="4"/>
      <c r="E274" s="5"/>
      <c r="F274" s="6"/>
      <c r="G274" s="7" t="str">
        <f aca="false">IF(E274="","",ROUND(E274*F274,2))</f>
        <v/>
      </c>
      <c r="H274" s="7" t="str">
        <f aca="false">IF(E274="","",E274+G274)</f>
        <v/>
      </c>
      <c r="I274" s="4"/>
      <c r="J274" s="4"/>
      <c r="K274" s="4"/>
    </row>
    <row r="275" customFormat="false" ht="15" hidden="false" customHeight="false" outlineLevel="0" collapsed="false">
      <c r="A275" s="2"/>
      <c r="B275" s="3" t="str">
        <f aca="false">IF(A275="","",MONTH(A275))</f>
        <v/>
      </c>
      <c r="C275" s="4"/>
      <c r="D275" s="4"/>
      <c r="E275" s="5"/>
      <c r="F275" s="6"/>
      <c r="G275" s="7" t="str">
        <f aca="false">IF(E275="","",ROUND(E275*F275,2))</f>
        <v/>
      </c>
      <c r="H275" s="7" t="str">
        <f aca="false">IF(E275="","",E275+G275)</f>
        <v/>
      </c>
      <c r="I275" s="4"/>
      <c r="J275" s="4"/>
      <c r="K275" s="4"/>
    </row>
    <row r="276" customFormat="false" ht="15" hidden="false" customHeight="false" outlineLevel="0" collapsed="false">
      <c r="A276" s="2"/>
      <c r="B276" s="3" t="str">
        <f aca="false">IF(A276="","",MONTH(A276))</f>
        <v/>
      </c>
      <c r="C276" s="4"/>
      <c r="D276" s="4"/>
      <c r="E276" s="5"/>
      <c r="F276" s="6"/>
      <c r="G276" s="7" t="str">
        <f aca="false">IF(E276="","",ROUND(E276*F276,2))</f>
        <v/>
      </c>
      <c r="H276" s="7" t="str">
        <f aca="false">IF(E276="","",E276+G276)</f>
        <v/>
      </c>
      <c r="I276" s="4"/>
      <c r="J276" s="4"/>
      <c r="K276" s="4"/>
    </row>
    <row r="277" customFormat="false" ht="15" hidden="false" customHeight="false" outlineLevel="0" collapsed="false">
      <c r="A277" s="2"/>
      <c r="B277" s="3" t="str">
        <f aca="false">IF(A277="","",MONTH(A277))</f>
        <v/>
      </c>
      <c r="C277" s="4"/>
      <c r="D277" s="4"/>
      <c r="E277" s="5"/>
      <c r="F277" s="6"/>
      <c r="G277" s="7" t="str">
        <f aca="false">IF(E277="","",ROUND(E277*F277,2))</f>
        <v/>
      </c>
      <c r="H277" s="7" t="str">
        <f aca="false">IF(E277="","",E277+G277)</f>
        <v/>
      </c>
      <c r="I277" s="4"/>
      <c r="J277" s="4"/>
      <c r="K277" s="4"/>
    </row>
    <row r="278" customFormat="false" ht="15" hidden="false" customHeight="false" outlineLevel="0" collapsed="false">
      <c r="A278" s="2"/>
      <c r="B278" s="3" t="str">
        <f aca="false">IF(A278="","",MONTH(A278))</f>
        <v/>
      </c>
      <c r="C278" s="4"/>
      <c r="D278" s="4"/>
      <c r="E278" s="5"/>
      <c r="F278" s="6"/>
      <c r="G278" s="7" t="str">
        <f aca="false">IF(E278="","",ROUND(E278*F278,2))</f>
        <v/>
      </c>
      <c r="H278" s="7" t="str">
        <f aca="false">IF(E278="","",E278+G278)</f>
        <v/>
      </c>
      <c r="I278" s="4"/>
      <c r="J278" s="4"/>
      <c r="K278" s="4"/>
    </row>
    <row r="279" customFormat="false" ht="15" hidden="false" customHeight="false" outlineLevel="0" collapsed="false">
      <c r="A279" s="2"/>
      <c r="B279" s="3" t="str">
        <f aca="false">IF(A279="","",MONTH(A279))</f>
        <v/>
      </c>
      <c r="C279" s="4"/>
      <c r="D279" s="4"/>
      <c r="E279" s="5"/>
      <c r="F279" s="6"/>
      <c r="G279" s="7" t="str">
        <f aca="false">IF(E279="","",ROUND(E279*F279,2))</f>
        <v/>
      </c>
      <c r="H279" s="7" t="str">
        <f aca="false">IF(E279="","",E279+G279)</f>
        <v/>
      </c>
      <c r="I279" s="4"/>
      <c r="J279" s="4"/>
      <c r="K279" s="4"/>
    </row>
    <row r="280" customFormat="false" ht="15" hidden="false" customHeight="false" outlineLevel="0" collapsed="false">
      <c r="A280" s="2"/>
      <c r="B280" s="3" t="str">
        <f aca="false">IF(A280="","",MONTH(A280))</f>
        <v/>
      </c>
      <c r="C280" s="4"/>
      <c r="D280" s="4"/>
      <c r="E280" s="5"/>
      <c r="F280" s="6"/>
      <c r="G280" s="7" t="str">
        <f aca="false">IF(E280="","",ROUND(E280*F280,2))</f>
        <v/>
      </c>
      <c r="H280" s="7" t="str">
        <f aca="false">IF(E280="","",E280+G280)</f>
        <v/>
      </c>
      <c r="I280" s="4"/>
      <c r="J280" s="4"/>
      <c r="K280" s="4"/>
    </row>
    <row r="281" customFormat="false" ht="15" hidden="false" customHeight="false" outlineLevel="0" collapsed="false">
      <c r="A281" s="2"/>
      <c r="B281" s="3" t="str">
        <f aca="false">IF(A281="","",MONTH(A281))</f>
        <v/>
      </c>
      <c r="C281" s="4"/>
      <c r="D281" s="4"/>
      <c r="E281" s="5"/>
      <c r="F281" s="6"/>
      <c r="G281" s="7" t="str">
        <f aca="false">IF(E281="","",ROUND(E281*F281,2))</f>
        <v/>
      </c>
      <c r="H281" s="7" t="str">
        <f aca="false">IF(E281="","",E281+G281)</f>
        <v/>
      </c>
      <c r="I281" s="4"/>
      <c r="J281" s="4"/>
      <c r="K281" s="4"/>
    </row>
    <row r="282" customFormat="false" ht="15" hidden="false" customHeight="false" outlineLevel="0" collapsed="false">
      <c r="A282" s="2"/>
      <c r="B282" s="3" t="str">
        <f aca="false">IF(A282="","",MONTH(A282))</f>
        <v/>
      </c>
      <c r="C282" s="4"/>
      <c r="D282" s="4"/>
      <c r="E282" s="5"/>
      <c r="F282" s="6"/>
      <c r="G282" s="7" t="str">
        <f aca="false">IF(E282="","",ROUND(E282*F282,2))</f>
        <v/>
      </c>
      <c r="H282" s="7" t="str">
        <f aca="false">IF(E282="","",E282+G282)</f>
        <v/>
      </c>
      <c r="I282" s="4"/>
      <c r="J282" s="4"/>
      <c r="K282" s="4"/>
    </row>
    <row r="283" customFormat="false" ht="15" hidden="false" customHeight="false" outlineLevel="0" collapsed="false">
      <c r="A283" s="2"/>
      <c r="B283" s="3" t="str">
        <f aca="false">IF(A283="","",MONTH(A283))</f>
        <v/>
      </c>
      <c r="C283" s="4"/>
      <c r="D283" s="4"/>
      <c r="E283" s="5"/>
      <c r="F283" s="6"/>
      <c r="G283" s="7" t="str">
        <f aca="false">IF(E283="","",ROUND(E283*F283,2))</f>
        <v/>
      </c>
      <c r="H283" s="7" t="str">
        <f aca="false">IF(E283="","",E283+G283)</f>
        <v/>
      </c>
      <c r="I283" s="4"/>
      <c r="J283" s="4"/>
      <c r="K283" s="4"/>
    </row>
    <row r="284" customFormat="false" ht="15" hidden="false" customHeight="false" outlineLevel="0" collapsed="false">
      <c r="A284" s="2"/>
      <c r="B284" s="3" t="str">
        <f aca="false">IF(A284="","",MONTH(A284))</f>
        <v/>
      </c>
      <c r="C284" s="4"/>
      <c r="D284" s="4"/>
      <c r="E284" s="5"/>
      <c r="F284" s="6"/>
      <c r="G284" s="7" t="str">
        <f aca="false">IF(E284="","",ROUND(E284*F284,2))</f>
        <v/>
      </c>
      <c r="H284" s="7" t="str">
        <f aca="false">IF(E284="","",E284+G284)</f>
        <v/>
      </c>
      <c r="I284" s="4"/>
      <c r="J284" s="4"/>
      <c r="K284" s="4"/>
    </row>
    <row r="285" customFormat="false" ht="15" hidden="false" customHeight="false" outlineLevel="0" collapsed="false">
      <c r="A285" s="2"/>
      <c r="B285" s="3" t="str">
        <f aca="false">IF(A285="","",MONTH(A285))</f>
        <v/>
      </c>
      <c r="C285" s="4"/>
      <c r="D285" s="4"/>
      <c r="E285" s="5"/>
      <c r="F285" s="6"/>
      <c r="G285" s="7" t="str">
        <f aca="false">IF(E285="","",ROUND(E285*F285,2))</f>
        <v/>
      </c>
      <c r="H285" s="7" t="str">
        <f aca="false">IF(E285="","",E285+G285)</f>
        <v/>
      </c>
      <c r="I285" s="4"/>
      <c r="J285" s="4"/>
      <c r="K285" s="4"/>
    </row>
    <row r="286" customFormat="false" ht="15" hidden="false" customHeight="false" outlineLevel="0" collapsed="false">
      <c r="A286" s="2"/>
      <c r="B286" s="3" t="str">
        <f aca="false">IF(A286="","",MONTH(A286))</f>
        <v/>
      </c>
      <c r="C286" s="4"/>
      <c r="D286" s="4"/>
      <c r="E286" s="5"/>
      <c r="F286" s="6"/>
      <c r="G286" s="7" t="str">
        <f aca="false">IF(E286="","",ROUND(E286*F286,2))</f>
        <v/>
      </c>
      <c r="H286" s="7" t="str">
        <f aca="false">IF(E286="","",E286+G286)</f>
        <v/>
      </c>
      <c r="I286" s="4"/>
      <c r="J286" s="4"/>
      <c r="K286" s="4"/>
    </row>
    <row r="287" customFormat="false" ht="15" hidden="false" customHeight="false" outlineLevel="0" collapsed="false">
      <c r="A287" s="2"/>
      <c r="B287" s="3" t="str">
        <f aca="false">IF(A287="","",MONTH(A287))</f>
        <v/>
      </c>
      <c r="C287" s="4"/>
      <c r="D287" s="4"/>
      <c r="E287" s="5"/>
      <c r="F287" s="6"/>
      <c r="G287" s="7" t="str">
        <f aca="false">IF(E287="","",ROUND(E287*F287,2))</f>
        <v/>
      </c>
      <c r="H287" s="7" t="str">
        <f aca="false">IF(E287="","",E287+G287)</f>
        <v/>
      </c>
      <c r="I287" s="4"/>
      <c r="J287" s="4"/>
      <c r="K287" s="4"/>
    </row>
    <row r="288" customFormat="false" ht="15" hidden="false" customHeight="false" outlineLevel="0" collapsed="false">
      <c r="A288" s="2"/>
      <c r="B288" s="3" t="str">
        <f aca="false">IF(A288="","",MONTH(A288))</f>
        <v/>
      </c>
      <c r="C288" s="4"/>
      <c r="D288" s="4"/>
      <c r="E288" s="5"/>
      <c r="F288" s="6"/>
      <c r="G288" s="7" t="str">
        <f aca="false">IF(E288="","",ROUND(E288*F288,2))</f>
        <v/>
      </c>
      <c r="H288" s="7" t="str">
        <f aca="false">IF(E288="","",E288+G288)</f>
        <v/>
      </c>
      <c r="I288" s="4"/>
      <c r="J288" s="4"/>
      <c r="K288" s="4"/>
    </row>
    <row r="289" customFormat="false" ht="15" hidden="false" customHeight="false" outlineLevel="0" collapsed="false">
      <c r="A289" s="2"/>
      <c r="B289" s="3" t="str">
        <f aca="false">IF(A289="","",MONTH(A289))</f>
        <v/>
      </c>
      <c r="C289" s="4"/>
      <c r="D289" s="4"/>
      <c r="E289" s="5"/>
      <c r="F289" s="6"/>
      <c r="G289" s="7" t="str">
        <f aca="false">IF(E289="","",ROUND(E289*F289,2))</f>
        <v/>
      </c>
      <c r="H289" s="7" t="str">
        <f aca="false">IF(E289="","",E289+G289)</f>
        <v/>
      </c>
      <c r="I289" s="4"/>
      <c r="J289" s="4"/>
      <c r="K289" s="4"/>
    </row>
    <row r="290" customFormat="false" ht="15" hidden="false" customHeight="false" outlineLevel="0" collapsed="false">
      <c r="A290" s="2"/>
      <c r="B290" s="3" t="str">
        <f aca="false">IF(A290="","",MONTH(A290))</f>
        <v/>
      </c>
      <c r="C290" s="4"/>
      <c r="D290" s="4"/>
      <c r="E290" s="5"/>
      <c r="F290" s="6"/>
      <c r="G290" s="7" t="str">
        <f aca="false">IF(E290="","",ROUND(E290*F290,2))</f>
        <v/>
      </c>
      <c r="H290" s="7" t="str">
        <f aca="false">IF(E290="","",E290+G290)</f>
        <v/>
      </c>
      <c r="I290" s="4"/>
      <c r="J290" s="4"/>
      <c r="K290" s="4"/>
    </row>
    <row r="291" customFormat="false" ht="15" hidden="false" customHeight="false" outlineLevel="0" collapsed="false">
      <c r="A291" s="2"/>
      <c r="B291" s="3" t="str">
        <f aca="false">IF(A291="","",MONTH(A291))</f>
        <v/>
      </c>
      <c r="C291" s="4"/>
      <c r="D291" s="4"/>
      <c r="E291" s="5"/>
      <c r="F291" s="6"/>
      <c r="G291" s="7" t="str">
        <f aca="false">IF(E291="","",ROUND(E291*F291,2))</f>
        <v/>
      </c>
      <c r="H291" s="7" t="str">
        <f aca="false">IF(E291="","",E291+G291)</f>
        <v/>
      </c>
      <c r="I291" s="4"/>
      <c r="J291" s="4"/>
      <c r="K291" s="4"/>
    </row>
    <row r="292" customFormat="false" ht="15" hidden="false" customHeight="false" outlineLevel="0" collapsed="false">
      <c r="A292" s="2"/>
      <c r="B292" s="3" t="str">
        <f aca="false">IF(A292="","",MONTH(A292))</f>
        <v/>
      </c>
      <c r="C292" s="4"/>
      <c r="D292" s="4"/>
      <c r="E292" s="5"/>
      <c r="F292" s="6"/>
      <c r="G292" s="7" t="str">
        <f aca="false">IF(E292="","",ROUND(E292*F292,2))</f>
        <v/>
      </c>
      <c r="H292" s="7" t="str">
        <f aca="false">IF(E292="","",E292+G292)</f>
        <v/>
      </c>
      <c r="I292" s="4"/>
      <c r="J292" s="4"/>
      <c r="K292" s="4"/>
    </row>
    <row r="293" customFormat="false" ht="15" hidden="false" customHeight="false" outlineLevel="0" collapsed="false">
      <c r="A293" s="2"/>
      <c r="B293" s="3" t="str">
        <f aca="false">IF(A293="","",MONTH(A293))</f>
        <v/>
      </c>
      <c r="C293" s="4"/>
      <c r="D293" s="4"/>
      <c r="E293" s="5"/>
      <c r="F293" s="6"/>
      <c r="G293" s="7" t="str">
        <f aca="false">IF(E293="","",ROUND(E293*F293,2))</f>
        <v/>
      </c>
      <c r="H293" s="7" t="str">
        <f aca="false">IF(E293="","",E293+G293)</f>
        <v/>
      </c>
      <c r="I293" s="4"/>
      <c r="J293" s="4"/>
      <c r="K293" s="4"/>
    </row>
    <row r="294" customFormat="false" ht="15" hidden="false" customHeight="false" outlineLevel="0" collapsed="false">
      <c r="A294" s="2"/>
      <c r="B294" s="3" t="str">
        <f aca="false">IF(A294="","",MONTH(A294))</f>
        <v/>
      </c>
      <c r="C294" s="4"/>
      <c r="D294" s="4"/>
      <c r="E294" s="5"/>
      <c r="F294" s="6"/>
      <c r="G294" s="7" t="str">
        <f aca="false">IF(E294="","",ROUND(E294*F294,2))</f>
        <v/>
      </c>
      <c r="H294" s="7" t="str">
        <f aca="false">IF(E294="","",E294+G294)</f>
        <v/>
      </c>
      <c r="I294" s="4"/>
      <c r="J294" s="4"/>
      <c r="K294" s="4"/>
    </row>
    <row r="295" customFormat="false" ht="15" hidden="false" customHeight="false" outlineLevel="0" collapsed="false">
      <c r="A295" s="2"/>
      <c r="B295" s="3" t="str">
        <f aca="false">IF(A295="","",MONTH(A295))</f>
        <v/>
      </c>
      <c r="C295" s="4"/>
      <c r="D295" s="4"/>
      <c r="E295" s="5"/>
      <c r="F295" s="6"/>
      <c r="G295" s="7" t="str">
        <f aca="false">IF(E295="","",ROUND(E295*F295,2))</f>
        <v/>
      </c>
      <c r="H295" s="7" t="str">
        <f aca="false">IF(E295="","",E295+G295)</f>
        <v/>
      </c>
      <c r="I295" s="4"/>
      <c r="J295" s="4"/>
      <c r="K295" s="4"/>
    </row>
    <row r="296" customFormat="false" ht="15" hidden="false" customHeight="false" outlineLevel="0" collapsed="false">
      <c r="A296" s="2"/>
      <c r="B296" s="3" t="str">
        <f aca="false">IF(A296="","",MONTH(A296))</f>
        <v/>
      </c>
      <c r="C296" s="4"/>
      <c r="D296" s="4"/>
      <c r="E296" s="5"/>
      <c r="F296" s="6"/>
      <c r="G296" s="7" t="str">
        <f aca="false">IF(E296="","",ROUND(E296*F296,2))</f>
        <v/>
      </c>
      <c r="H296" s="7" t="str">
        <f aca="false">IF(E296="","",E296+G296)</f>
        <v/>
      </c>
      <c r="I296" s="4"/>
      <c r="J296" s="4"/>
      <c r="K296" s="4"/>
    </row>
    <row r="297" customFormat="false" ht="15" hidden="false" customHeight="false" outlineLevel="0" collapsed="false">
      <c r="A297" s="2"/>
      <c r="B297" s="3" t="str">
        <f aca="false">IF(A297="","",MONTH(A297))</f>
        <v/>
      </c>
      <c r="C297" s="4"/>
      <c r="D297" s="4"/>
      <c r="E297" s="5"/>
      <c r="F297" s="6"/>
      <c r="G297" s="7" t="str">
        <f aca="false">IF(E297="","",ROUND(E297*F297,2))</f>
        <v/>
      </c>
      <c r="H297" s="7" t="str">
        <f aca="false">IF(E297="","",E297+G297)</f>
        <v/>
      </c>
      <c r="I297" s="4"/>
      <c r="J297" s="4"/>
      <c r="K297" s="4"/>
    </row>
    <row r="298" customFormat="false" ht="15" hidden="false" customHeight="false" outlineLevel="0" collapsed="false">
      <c r="A298" s="2"/>
      <c r="B298" s="3" t="str">
        <f aca="false">IF(A298="","",MONTH(A298))</f>
        <v/>
      </c>
      <c r="C298" s="4"/>
      <c r="D298" s="4"/>
      <c r="E298" s="5"/>
      <c r="F298" s="6"/>
      <c r="G298" s="7" t="str">
        <f aca="false">IF(E298="","",ROUND(E298*F298,2))</f>
        <v/>
      </c>
      <c r="H298" s="7" t="str">
        <f aca="false">IF(E298="","",E298+G298)</f>
        <v/>
      </c>
      <c r="I298" s="4"/>
      <c r="J298" s="4"/>
      <c r="K298" s="4"/>
    </row>
    <row r="299" customFormat="false" ht="15" hidden="false" customHeight="false" outlineLevel="0" collapsed="false">
      <c r="A299" s="2"/>
      <c r="B299" s="3" t="str">
        <f aca="false">IF(A299="","",MONTH(A299))</f>
        <v/>
      </c>
      <c r="C299" s="4"/>
      <c r="D299" s="4"/>
      <c r="E299" s="5"/>
      <c r="F299" s="6"/>
      <c r="G299" s="7" t="str">
        <f aca="false">IF(E299="","",ROUND(E299*F299,2))</f>
        <v/>
      </c>
      <c r="H299" s="7" t="str">
        <f aca="false">IF(E299="","",E299+G299)</f>
        <v/>
      </c>
      <c r="I299" s="4"/>
      <c r="J299" s="4"/>
      <c r="K299" s="4"/>
    </row>
    <row r="300" customFormat="false" ht="15" hidden="false" customHeight="false" outlineLevel="0" collapsed="false">
      <c r="A300" s="2"/>
      <c r="B300" s="3" t="str">
        <f aca="false">IF(A300="","",MONTH(A300))</f>
        <v/>
      </c>
      <c r="C300" s="4"/>
      <c r="D300" s="4"/>
      <c r="E300" s="5"/>
      <c r="F300" s="6"/>
      <c r="G300" s="7" t="str">
        <f aca="false">IF(E300="","",ROUND(E300*F300,2))</f>
        <v/>
      </c>
      <c r="H300" s="7" t="str">
        <f aca="false">IF(E300="","",E300+G300)</f>
        <v/>
      </c>
      <c r="I300" s="4"/>
      <c r="J300" s="4"/>
      <c r="K300" s="4"/>
    </row>
    <row r="301" customFormat="false" ht="15" hidden="false" customHeight="false" outlineLevel="0" collapsed="false">
      <c r="A301" s="2"/>
      <c r="B301" s="3" t="str">
        <f aca="false">IF(A301="","",MONTH(A301))</f>
        <v/>
      </c>
      <c r="C301" s="4"/>
      <c r="D301" s="4"/>
      <c r="E301" s="5"/>
      <c r="F301" s="6"/>
      <c r="G301" s="7" t="str">
        <f aca="false">IF(E301="","",ROUND(E301*F301,2))</f>
        <v/>
      </c>
      <c r="H301" s="7" t="str">
        <f aca="false">IF(E301="","",E301+G301)</f>
        <v/>
      </c>
      <c r="I301" s="4"/>
      <c r="J301" s="4"/>
      <c r="K301" s="4"/>
    </row>
  </sheetData>
  <dataValidations count="3">
    <dataValidation allowBlank="true" errorStyle="stop" operator="between" showDropDown="false" showErrorMessage="false" showInputMessage="false" sqref="C2:C301" type="list">
      <formula1>Listen!$A$2:$A$15</formula1>
      <formula2>0</formula2>
    </dataValidation>
    <dataValidation allowBlank="true" errorStyle="stop" operator="between" showDropDown="false" showErrorMessage="false" showInputMessage="false" sqref="F2:F301" type="list">
      <formula1>"0%,7%,19%"</formula1>
      <formula2>0</formula2>
    </dataValidation>
    <dataValidation allowBlank="true" errorStyle="stop" operator="between" showDropDown="false" showErrorMessage="false" showInputMessage="false" sqref="I2:I301" type="list">
      <formula1>Listen!$B$2:$B$7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8" t="s">
        <v>16</v>
      </c>
    </row>
    <row r="2" customFormat="false" ht="15" hidden="false" customHeight="false" outlineLevel="0" collapsed="false">
      <c r="A2" s="9" t="s">
        <v>17</v>
      </c>
    </row>
    <row r="4" customFormat="false" ht="15" hidden="false" customHeight="false" outlineLevel="0" collapsed="false">
      <c r="A4" s="10" t="s">
        <v>2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 t="s">
        <v>27</v>
      </c>
      <c r="L4" s="10" t="s">
        <v>28</v>
      </c>
      <c r="M4" s="10" t="s">
        <v>29</v>
      </c>
      <c r="N4" s="10" t="s">
        <v>30</v>
      </c>
    </row>
    <row r="5" customFormat="false" ht="15" hidden="false" customHeight="false" outlineLevel="0" collapsed="false">
      <c r="A5" s="3" t="s">
        <v>31</v>
      </c>
      <c r="B5" s="7" t="n">
        <f aca="false">SUMIFS(Ausgaben!$E$2:$E$301,Ausgaben!$C$2:$C$301,$A5,Ausgaben!$B$2:$B$301,1)</f>
        <v>0</v>
      </c>
      <c r="C5" s="7" t="n">
        <f aca="false">SUMIFS(Ausgaben!$E$2:$E$301,Ausgaben!$C$2:$C$301,$A5,Ausgaben!$B$2:$B$301,2)</f>
        <v>0</v>
      </c>
      <c r="D5" s="7" t="n">
        <f aca="false">SUMIFS(Ausgaben!$E$2:$E$301,Ausgaben!$C$2:$C$301,$A5,Ausgaben!$B$2:$B$301,3)</f>
        <v>0</v>
      </c>
      <c r="E5" s="7" t="n">
        <f aca="false">SUMIFS(Ausgaben!$E$2:$E$301,Ausgaben!$C$2:$C$301,$A5,Ausgaben!$B$2:$B$301,4)</f>
        <v>0</v>
      </c>
      <c r="F5" s="7" t="n">
        <f aca="false">SUMIFS(Ausgaben!$E$2:$E$301,Ausgaben!$C$2:$C$301,$A5,Ausgaben!$B$2:$B$301,5)</f>
        <v>0</v>
      </c>
      <c r="G5" s="7" t="n">
        <f aca="false">SUMIFS(Ausgaben!$E$2:$E$301,Ausgaben!$C$2:$C$301,$A5,Ausgaben!$B$2:$B$301,6)</f>
        <v>0</v>
      </c>
      <c r="H5" s="7" t="n">
        <f aca="false">SUMIFS(Ausgaben!$E$2:$E$301,Ausgaben!$C$2:$C$301,$A5,Ausgaben!$B$2:$B$301,7)</f>
        <v>0</v>
      </c>
      <c r="I5" s="7" t="n">
        <f aca="false">SUMIFS(Ausgaben!$E$2:$E$301,Ausgaben!$C$2:$C$301,$A5,Ausgaben!$B$2:$B$301,8)</f>
        <v>0</v>
      </c>
      <c r="J5" s="7" t="n">
        <f aca="false">SUMIFS(Ausgaben!$E$2:$E$301,Ausgaben!$C$2:$C$301,$A5,Ausgaben!$B$2:$B$301,9)</f>
        <v>0</v>
      </c>
      <c r="K5" s="7" t="n">
        <f aca="false">SUMIFS(Ausgaben!$E$2:$E$301,Ausgaben!$C$2:$C$301,$A5,Ausgaben!$B$2:$B$301,10)</f>
        <v>0</v>
      </c>
      <c r="L5" s="7" t="n">
        <f aca="false">SUMIFS(Ausgaben!$E$2:$E$301,Ausgaben!$C$2:$C$301,$A5,Ausgaben!$B$2:$B$301,11)</f>
        <v>0</v>
      </c>
      <c r="M5" s="7" t="n">
        <f aca="false">SUMIFS(Ausgaben!$E$2:$E$301,Ausgaben!$C$2:$C$301,$A5,Ausgaben!$B$2:$B$301,12)</f>
        <v>0</v>
      </c>
      <c r="N5" s="11" t="n">
        <f aca="false">SUM(B5:M5)</f>
        <v>0</v>
      </c>
    </row>
    <row r="6" customFormat="false" ht="15" hidden="false" customHeight="false" outlineLevel="0" collapsed="false">
      <c r="A6" s="3" t="s">
        <v>11</v>
      </c>
      <c r="B6" s="7" t="n">
        <f aca="false">SUMIFS(Ausgaben!$E$2:$E$301,Ausgaben!$C$2:$C$301,$A6,Ausgaben!$B$2:$B$301,1)</f>
        <v>295</v>
      </c>
      <c r="C6" s="7" t="n">
        <f aca="false">SUMIFS(Ausgaben!$E$2:$E$301,Ausgaben!$C$2:$C$301,$A6,Ausgaben!$B$2:$B$301,2)</f>
        <v>0</v>
      </c>
      <c r="D6" s="7" t="n">
        <f aca="false">SUMIFS(Ausgaben!$E$2:$E$301,Ausgaben!$C$2:$C$301,$A6,Ausgaben!$B$2:$B$301,3)</f>
        <v>0</v>
      </c>
      <c r="E6" s="7" t="n">
        <f aca="false">SUMIFS(Ausgaben!$E$2:$E$301,Ausgaben!$C$2:$C$301,$A6,Ausgaben!$B$2:$B$301,4)</f>
        <v>0</v>
      </c>
      <c r="F6" s="7" t="n">
        <f aca="false">SUMIFS(Ausgaben!$E$2:$E$301,Ausgaben!$C$2:$C$301,$A6,Ausgaben!$B$2:$B$301,5)</f>
        <v>0</v>
      </c>
      <c r="G6" s="7" t="n">
        <f aca="false">SUMIFS(Ausgaben!$E$2:$E$301,Ausgaben!$C$2:$C$301,$A6,Ausgaben!$B$2:$B$301,6)</f>
        <v>0</v>
      </c>
      <c r="H6" s="7" t="n">
        <f aca="false">SUMIFS(Ausgaben!$E$2:$E$301,Ausgaben!$C$2:$C$301,$A6,Ausgaben!$B$2:$B$301,7)</f>
        <v>0</v>
      </c>
      <c r="I6" s="7" t="n">
        <f aca="false">SUMIFS(Ausgaben!$E$2:$E$301,Ausgaben!$C$2:$C$301,$A6,Ausgaben!$B$2:$B$301,8)</f>
        <v>0</v>
      </c>
      <c r="J6" s="7" t="n">
        <f aca="false">SUMIFS(Ausgaben!$E$2:$E$301,Ausgaben!$C$2:$C$301,$A6,Ausgaben!$B$2:$B$301,9)</f>
        <v>0</v>
      </c>
      <c r="K6" s="7" t="n">
        <f aca="false">SUMIFS(Ausgaben!$E$2:$E$301,Ausgaben!$C$2:$C$301,$A6,Ausgaben!$B$2:$B$301,10)</f>
        <v>0</v>
      </c>
      <c r="L6" s="7" t="n">
        <f aca="false">SUMIFS(Ausgaben!$E$2:$E$301,Ausgaben!$C$2:$C$301,$A6,Ausgaben!$B$2:$B$301,11)</f>
        <v>0</v>
      </c>
      <c r="M6" s="7" t="n">
        <f aca="false">SUMIFS(Ausgaben!$E$2:$E$301,Ausgaben!$C$2:$C$301,$A6,Ausgaben!$B$2:$B$301,12)</f>
        <v>0</v>
      </c>
      <c r="N6" s="11" t="n">
        <f aca="false">SUM(B6:M6)</f>
        <v>295</v>
      </c>
    </row>
    <row r="7" customFormat="false" ht="15" hidden="false" customHeight="false" outlineLevel="0" collapsed="false">
      <c r="A7" s="3" t="s">
        <v>32</v>
      </c>
      <c r="B7" s="7" t="n">
        <f aca="false">SUMIFS(Ausgaben!$E$2:$E$301,Ausgaben!$C$2:$C$301,$A7,Ausgaben!$B$2:$B$301,1)</f>
        <v>0</v>
      </c>
      <c r="C7" s="7" t="n">
        <f aca="false">SUMIFS(Ausgaben!$E$2:$E$301,Ausgaben!$C$2:$C$301,$A7,Ausgaben!$B$2:$B$301,2)</f>
        <v>0</v>
      </c>
      <c r="D7" s="7" t="n">
        <f aca="false">SUMIFS(Ausgaben!$E$2:$E$301,Ausgaben!$C$2:$C$301,$A7,Ausgaben!$B$2:$B$301,3)</f>
        <v>0</v>
      </c>
      <c r="E7" s="7" t="n">
        <f aca="false">SUMIFS(Ausgaben!$E$2:$E$301,Ausgaben!$C$2:$C$301,$A7,Ausgaben!$B$2:$B$301,4)</f>
        <v>0</v>
      </c>
      <c r="F7" s="7" t="n">
        <f aca="false">SUMIFS(Ausgaben!$E$2:$E$301,Ausgaben!$C$2:$C$301,$A7,Ausgaben!$B$2:$B$301,5)</f>
        <v>0</v>
      </c>
      <c r="G7" s="7" t="n">
        <f aca="false">SUMIFS(Ausgaben!$E$2:$E$301,Ausgaben!$C$2:$C$301,$A7,Ausgaben!$B$2:$B$301,6)</f>
        <v>0</v>
      </c>
      <c r="H7" s="7" t="n">
        <f aca="false">SUMIFS(Ausgaben!$E$2:$E$301,Ausgaben!$C$2:$C$301,$A7,Ausgaben!$B$2:$B$301,7)</f>
        <v>0</v>
      </c>
      <c r="I7" s="7" t="n">
        <f aca="false">SUMIFS(Ausgaben!$E$2:$E$301,Ausgaben!$C$2:$C$301,$A7,Ausgaben!$B$2:$B$301,8)</f>
        <v>0</v>
      </c>
      <c r="J7" s="7" t="n">
        <f aca="false">SUMIFS(Ausgaben!$E$2:$E$301,Ausgaben!$C$2:$C$301,$A7,Ausgaben!$B$2:$B$301,9)</f>
        <v>0</v>
      </c>
      <c r="K7" s="7" t="n">
        <f aca="false">SUMIFS(Ausgaben!$E$2:$E$301,Ausgaben!$C$2:$C$301,$A7,Ausgaben!$B$2:$B$301,10)</f>
        <v>0</v>
      </c>
      <c r="L7" s="7" t="n">
        <f aca="false">SUMIFS(Ausgaben!$E$2:$E$301,Ausgaben!$C$2:$C$301,$A7,Ausgaben!$B$2:$B$301,11)</f>
        <v>0</v>
      </c>
      <c r="M7" s="7" t="n">
        <f aca="false">SUMIFS(Ausgaben!$E$2:$E$301,Ausgaben!$C$2:$C$301,$A7,Ausgaben!$B$2:$B$301,12)</f>
        <v>0</v>
      </c>
      <c r="N7" s="11" t="n">
        <f aca="false">SUM(B7:M7)</f>
        <v>0</v>
      </c>
    </row>
    <row r="8" customFormat="false" ht="15" hidden="false" customHeight="false" outlineLevel="0" collapsed="false">
      <c r="A8" s="3" t="s">
        <v>33</v>
      </c>
      <c r="B8" s="7" t="n">
        <f aca="false">SUMIFS(Ausgaben!$E$2:$E$301,Ausgaben!$C$2:$C$301,$A8,Ausgaben!$B$2:$B$301,1)</f>
        <v>0</v>
      </c>
      <c r="C8" s="7" t="n">
        <f aca="false">SUMIFS(Ausgaben!$E$2:$E$301,Ausgaben!$C$2:$C$301,$A8,Ausgaben!$B$2:$B$301,2)</f>
        <v>0</v>
      </c>
      <c r="D8" s="7" t="n">
        <f aca="false">SUMIFS(Ausgaben!$E$2:$E$301,Ausgaben!$C$2:$C$301,$A8,Ausgaben!$B$2:$B$301,3)</f>
        <v>0</v>
      </c>
      <c r="E8" s="7" t="n">
        <f aca="false">SUMIFS(Ausgaben!$E$2:$E$301,Ausgaben!$C$2:$C$301,$A8,Ausgaben!$B$2:$B$301,4)</f>
        <v>0</v>
      </c>
      <c r="F8" s="7" t="n">
        <f aca="false">SUMIFS(Ausgaben!$E$2:$E$301,Ausgaben!$C$2:$C$301,$A8,Ausgaben!$B$2:$B$301,5)</f>
        <v>0</v>
      </c>
      <c r="G8" s="7" t="n">
        <f aca="false">SUMIFS(Ausgaben!$E$2:$E$301,Ausgaben!$C$2:$C$301,$A8,Ausgaben!$B$2:$B$301,6)</f>
        <v>0</v>
      </c>
      <c r="H8" s="7" t="n">
        <f aca="false">SUMIFS(Ausgaben!$E$2:$E$301,Ausgaben!$C$2:$C$301,$A8,Ausgaben!$B$2:$B$301,7)</f>
        <v>0</v>
      </c>
      <c r="I8" s="7" t="n">
        <f aca="false">SUMIFS(Ausgaben!$E$2:$E$301,Ausgaben!$C$2:$C$301,$A8,Ausgaben!$B$2:$B$301,8)</f>
        <v>0</v>
      </c>
      <c r="J8" s="7" t="n">
        <f aca="false">SUMIFS(Ausgaben!$E$2:$E$301,Ausgaben!$C$2:$C$301,$A8,Ausgaben!$B$2:$B$301,9)</f>
        <v>0</v>
      </c>
      <c r="K8" s="7" t="n">
        <f aca="false">SUMIFS(Ausgaben!$E$2:$E$301,Ausgaben!$C$2:$C$301,$A8,Ausgaben!$B$2:$B$301,10)</f>
        <v>0</v>
      </c>
      <c r="L8" s="7" t="n">
        <f aca="false">SUMIFS(Ausgaben!$E$2:$E$301,Ausgaben!$C$2:$C$301,$A8,Ausgaben!$B$2:$B$301,11)</f>
        <v>0</v>
      </c>
      <c r="M8" s="7" t="n">
        <f aca="false">SUMIFS(Ausgaben!$E$2:$E$301,Ausgaben!$C$2:$C$301,$A8,Ausgaben!$B$2:$B$301,12)</f>
        <v>0</v>
      </c>
      <c r="N8" s="11" t="n">
        <f aca="false">SUM(B8:M8)</f>
        <v>0</v>
      </c>
    </row>
    <row r="9" customFormat="false" ht="15" hidden="false" customHeight="false" outlineLevel="0" collapsed="false">
      <c r="A9" s="3" t="s">
        <v>34</v>
      </c>
      <c r="B9" s="7" t="n">
        <f aca="false">SUMIFS(Ausgaben!$E$2:$E$301,Ausgaben!$C$2:$C$301,$A9,Ausgaben!$B$2:$B$301,1)</f>
        <v>0</v>
      </c>
      <c r="C9" s="7" t="n">
        <f aca="false">SUMIFS(Ausgaben!$E$2:$E$301,Ausgaben!$C$2:$C$301,$A9,Ausgaben!$B$2:$B$301,2)</f>
        <v>0</v>
      </c>
      <c r="D9" s="7" t="n">
        <f aca="false">SUMIFS(Ausgaben!$E$2:$E$301,Ausgaben!$C$2:$C$301,$A9,Ausgaben!$B$2:$B$301,3)</f>
        <v>0</v>
      </c>
      <c r="E9" s="7" t="n">
        <f aca="false">SUMIFS(Ausgaben!$E$2:$E$301,Ausgaben!$C$2:$C$301,$A9,Ausgaben!$B$2:$B$301,4)</f>
        <v>0</v>
      </c>
      <c r="F9" s="7" t="n">
        <f aca="false">SUMIFS(Ausgaben!$E$2:$E$301,Ausgaben!$C$2:$C$301,$A9,Ausgaben!$B$2:$B$301,5)</f>
        <v>0</v>
      </c>
      <c r="G9" s="7" t="n">
        <f aca="false">SUMIFS(Ausgaben!$E$2:$E$301,Ausgaben!$C$2:$C$301,$A9,Ausgaben!$B$2:$B$301,6)</f>
        <v>0</v>
      </c>
      <c r="H9" s="7" t="n">
        <f aca="false">SUMIFS(Ausgaben!$E$2:$E$301,Ausgaben!$C$2:$C$301,$A9,Ausgaben!$B$2:$B$301,7)</f>
        <v>0</v>
      </c>
      <c r="I9" s="7" t="n">
        <f aca="false">SUMIFS(Ausgaben!$E$2:$E$301,Ausgaben!$C$2:$C$301,$A9,Ausgaben!$B$2:$B$301,8)</f>
        <v>0</v>
      </c>
      <c r="J9" s="7" t="n">
        <f aca="false">SUMIFS(Ausgaben!$E$2:$E$301,Ausgaben!$C$2:$C$301,$A9,Ausgaben!$B$2:$B$301,9)</f>
        <v>0</v>
      </c>
      <c r="K9" s="7" t="n">
        <f aca="false">SUMIFS(Ausgaben!$E$2:$E$301,Ausgaben!$C$2:$C$301,$A9,Ausgaben!$B$2:$B$301,10)</f>
        <v>0</v>
      </c>
      <c r="L9" s="7" t="n">
        <f aca="false">SUMIFS(Ausgaben!$E$2:$E$301,Ausgaben!$C$2:$C$301,$A9,Ausgaben!$B$2:$B$301,11)</f>
        <v>0</v>
      </c>
      <c r="M9" s="7" t="n">
        <f aca="false">SUMIFS(Ausgaben!$E$2:$E$301,Ausgaben!$C$2:$C$301,$A9,Ausgaben!$B$2:$B$301,12)</f>
        <v>0</v>
      </c>
      <c r="N9" s="11" t="n">
        <f aca="false">SUM(B9:M9)</f>
        <v>0</v>
      </c>
    </row>
    <row r="10" customFormat="false" ht="15" hidden="false" customHeight="false" outlineLevel="0" collapsed="false">
      <c r="A10" s="3" t="s">
        <v>35</v>
      </c>
      <c r="B10" s="7" t="n">
        <f aca="false">SUMIFS(Ausgaben!$E$2:$E$301,Ausgaben!$C$2:$C$301,$A10,Ausgaben!$B$2:$B$301,1)</f>
        <v>0</v>
      </c>
      <c r="C10" s="7" t="n">
        <f aca="false">SUMIFS(Ausgaben!$E$2:$E$301,Ausgaben!$C$2:$C$301,$A10,Ausgaben!$B$2:$B$301,2)</f>
        <v>0</v>
      </c>
      <c r="D10" s="7" t="n">
        <f aca="false">SUMIFS(Ausgaben!$E$2:$E$301,Ausgaben!$C$2:$C$301,$A10,Ausgaben!$B$2:$B$301,3)</f>
        <v>0</v>
      </c>
      <c r="E10" s="7" t="n">
        <f aca="false">SUMIFS(Ausgaben!$E$2:$E$301,Ausgaben!$C$2:$C$301,$A10,Ausgaben!$B$2:$B$301,4)</f>
        <v>0</v>
      </c>
      <c r="F10" s="7" t="n">
        <f aca="false">SUMIFS(Ausgaben!$E$2:$E$301,Ausgaben!$C$2:$C$301,$A10,Ausgaben!$B$2:$B$301,5)</f>
        <v>0</v>
      </c>
      <c r="G10" s="7" t="n">
        <f aca="false">SUMIFS(Ausgaben!$E$2:$E$301,Ausgaben!$C$2:$C$301,$A10,Ausgaben!$B$2:$B$301,6)</f>
        <v>0</v>
      </c>
      <c r="H10" s="7" t="n">
        <f aca="false">SUMIFS(Ausgaben!$E$2:$E$301,Ausgaben!$C$2:$C$301,$A10,Ausgaben!$B$2:$B$301,7)</f>
        <v>0</v>
      </c>
      <c r="I10" s="7" t="n">
        <f aca="false">SUMIFS(Ausgaben!$E$2:$E$301,Ausgaben!$C$2:$C$301,$A10,Ausgaben!$B$2:$B$301,8)</f>
        <v>0</v>
      </c>
      <c r="J10" s="7" t="n">
        <f aca="false">SUMIFS(Ausgaben!$E$2:$E$301,Ausgaben!$C$2:$C$301,$A10,Ausgaben!$B$2:$B$301,9)</f>
        <v>0</v>
      </c>
      <c r="K10" s="7" t="n">
        <f aca="false">SUMIFS(Ausgaben!$E$2:$E$301,Ausgaben!$C$2:$C$301,$A10,Ausgaben!$B$2:$B$301,10)</f>
        <v>0</v>
      </c>
      <c r="L10" s="7" t="n">
        <f aca="false">SUMIFS(Ausgaben!$E$2:$E$301,Ausgaben!$C$2:$C$301,$A10,Ausgaben!$B$2:$B$301,11)</f>
        <v>0</v>
      </c>
      <c r="M10" s="7" t="n">
        <f aca="false">SUMIFS(Ausgaben!$E$2:$E$301,Ausgaben!$C$2:$C$301,$A10,Ausgaben!$B$2:$B$301,12)</f>
        <v>0</v>
      </c>
      <c r="N10" s="11" t="n">
        <f aca="false">SUM(B10:M10)</f>
        <v>0</v>
      </c>
    </row>
    <row r="11" customFormat="false" ht="15" hidden="false" customHeight="false" outlineLevel="0" collapsed="false">
      <c r="A11" s="3" t="s">
        <v>36</v>
      </c>
      <c r="B11" s="7" t="n">
        <f aca="false">SUMIFS(Ausgaben!$E$2:$E$301,Ausgaben!$C$2:$C$301,$A11,Ausgaben!$B$2:$B$301,1)</f>
        <v>0</v>
      </c>
      <c r="C11" s="7" t="n">
        <f aca="false">SUMIFS(Ausgaben!$E$2:$E$301,Ausgaben!$C$2:$C$301,$A11,Ausgaben!$B$2:$B$301,2)</f>
        <v>0</v>
      </c>
      <c r="D11" s="7" t="n">
        <f aca="false">SUMIFS(Ausgaben!$E$2:$E$301,Ausgaben!$C$2:$C$301,$A11,Ausgaben!$B$2:$B$301,3)</f>
        <v>0</v>
      </c>
      <c r="E11" s="7" t="n">
        <f aca="false">SUMIFS(Ausgaben!$E$2:$E$301,Ausgaben!$C$2:$C$301,$A11,Ausgaben!$B$2:$B$301,4)</f>
        <v>0</v>
      </c>
      <c r="F11" s="7" t="n">
        <f aca="false">SUMIFS(Ausgaben!$E$2:$E$301,Ausgaben!$C$2:$C$301,$A11,Ausgaben!$B$2:$B$301,5)</f>
        <v>0</v>
      </c>
      <c r="G11" s="7" t="n">
        <f aca="false">SUMIFS(Ausgaben!$E$2:$E$301,Ausgaben!$C$2:$C$301,$A11,Ausgaben!$B$2:$B$301,6)</f>
        <v>0</v>
      </c>
      <c r="H11" s="7" t="n">
        <f aca="false">SUMIFS(Ausgaben!$E$2:$E$301,Ausgaben!$C$2:$C$301,$A11,Ausgaben!$B$2:$B$301,7)</f>
        <v>0</v>
      </c>
      <c r="I11" s="7" t="n">
        <f aca="false">SUMIFS(Ausgaben!$E$2:$E$301,Ausgaben!$C$2:$C$301,$A11,Ausgaben!$B$2:$B$301,8)</f>
        <v>0</v>
      </c>
      <c r="J11" s="7" t="n">
        <f aca="false">SUMIFS(Ausgaben!$E$2:$E$301,Ausgaben!$C$2:$C$301,$A11,Ausgaben!$B$2:$B$301,9)</f>
        <v>0</v>
      </c>
      <c r="K11" s="7" t="n">
        <f aca="false">SUMIFS(Ausgaben!$E$2:$E$301,Ausgaben!$C$2:$C$301,$A11,Ausgaben!$B$2:$B$301,10)</f>
        <v>0</v>
      </c>
      <c r="L11" s="7" t="n">
        <f aca="false">SUMIFS(Ausgaben!$E$2:$E$301,Ausgaben!$C$2:$C$301,$A11,Ausgaben!$B$2:$B$301,11)</f>
        <v>0</v>
      </c>
      <c r="M11" s="7" t="n">
        <f aca="false">SUMIFS(Ausgaben!$E$2:$E$301,Ausgaben!$C$2:$C$301,$A11,Ausgaben!$B$2:$B$301,12)</f>
        <v>0</v>
      </c>
      <c r="N11" s="11" t="n">
        <f aca="false">SUM(B11:M11)</f>
        <v>0</v>
      </c>
    </row>
    <row r="12" customFormat="false" ht="15" hidden="false" customHeight="false" outlineLevel="0" collapsed="false">
      <c r="A12" s="3" t="s">
        <v>37</v>
      </c>
      <c r="B12" s="7" t="n">
        <f aca="false">SUMIFS(Ausgaben!$E$2:$E$301,Ausgaben!$C$2:$C$301,$A12,Ausgaben!$B$2:$B$301,1)</f>
        <v>0</v>
      </c>
      <c r="C12" s="7" t="n">
        <f aca="false">SUMIFS(Ausgaben!$E$2:$E$301,Ausgaben!$C$2:$C$301,$A12,Ausgaben!$B$2:$B$301,2)</f>
        <v>0</v>
      </c>
      <c r="D12" s="7" t="n">
        <f aca="false">SUMIFS(Ausgaben!$E$2:$E$301,Ausgaben!$C$2:$C$301,$A12,Ausgaben!$B$2:$B$301,3)</f>
        <v>0</v>
      </c>
      <c r="E12" s="7" t="n">
        <f aca="false">SUMIFS(Ausgaben!$E$2:$E$301,Ausgaben!$C$2:$C$301,$A12,Ausgaben!$B$2:$B$301,4)</f>
        <v>0</v>
      </c>
      <c r="F12" s="7" t="n">
        <f aca="false">SUMIFS(Ausgaben!$E$2:$E$301,Ausgaben!$C$2:$C$301,$A12,Ausgaben!$B$2:$B$301,5)</f>
        <v>0</v>
      </c>
      <c r="G12" s="7" t="n">
        <f aca="false">SUMIFS(Ausgaben!$E$2:$E$301,Ausgaben!$C$2:$C$301,$A12,Ausgaben!$B$2:$B$301,6)</f>
        <v>0</v>
      </c>
      <c r="H12" s="7" t="n">
        <f aca="false">SUMIFS(Ausgaben!$E$2:$E$301,Ausgaben!$C$2:$C$301,$A12,Ausgaben!$B$2:$B$301,7)</f>
        <v>0</v>
      </c>
      <c r="I12" s="7" t="n">
        <f aca="false">SUMIFS(Ausgaben!$E$2:$E$301,Ausgaben!$C$2:$C$301,$A12,Ausgaben!$B$2:$B$301,8)</f>
        <v>0</v>
      </c>
      <c r="J12" s="7" t="n">
        <f aca="false">SUMIFS(Ausgaben!$E$2:$E$301,Ausgaben!$C$2:$C$301,$A12,Ausgaben!$B$2:$B$301,9)</f>
        <v>0</v>
      </c>
      <c r="K12" s="7" t="n">
        <f aca="false">SUMIFS(Ausgaben!$E$2:$E$301,Ausgaben!$C$2:$C$301,$A12,Ausgaben!$B$2:$B$301,10)</f>
        <v>0</v>
      </c>
      <c r="L12" s="7" t="n">
        <f aca="false">SUMIFS(Ausgaben!$E$2:$E$301,Ausgaben!$C$2:$C$301,$A12,Ausgaben!$B$2:$B$301,11)</f>
        <v>0</v>
      </c>
      <c r="M12" s="7" t="n">
        <f aca="false">SUMIFS(Ausgaben!$E$2:$E$301,Ausgaben!$C$2:$C$301,$A12,Ausgaben!$B$2:$B$301,12)</f>
        <v>0</v>
      </c>
      <c r="N12" s="11" t="n">
        <f aca="false">SUM(B12:M12)</f>
        <v>0</v>
      </c>
    </row>
    <row r="13" customFormat="false" ht="15" hidden="false" customHeight="false" outlineLevel="0" collapsed="false">
      <c r="A13" s="3" t="s">
        <v>38</v>
      </c>
      <c r="B13" s="7" t="n">
        <f aca="false">SUMIFS(Ausgaben!$E$2:$E$301,Ausgaben!$C$2:$C$301,$A13,Ausgaben!$B$2:$B$301,1)</f>
        <v>0</v>
      </c>
      <c r="C13" s="7" t="n">
        <f aca="false">SUMIFS(Ausgaben!$E$2:$E$301,Ausgaben!$C$2:$C$301,$A13,Ausgaben!$B$2:$B$301,2)</f>
        <v>0</v>
      </c>
      <c r="D13" s="7" t="n">
        <f aca="false">SUMIFS(Ausgaben!$E$2:$E$301,Ausgaben!$C$2:$C$301,$A13,Ausgaben!$B$2:$B$301,3)</f>
        <v>0</v>
      </c>
      <c r="E13" s="7" t="n">
        <f aca="false">SUMIFS(Ausgaben!$E$2:$E$301,Ausgaben!$C$2:$C$301,$A13,Ausgaben!$B$2:$B$301,4)</f>
        <v>0</v>
      </c>
      <c r="F13" s="7" t="n">
        <f aca="false">SUMIFS(Ausgaben!$E$2:$E$301,Ausgaben!$C$2:$C$301,$A13,Ausgaben!$B$2:$B$301,5)</f>
        <v>0</v>
      </c>
      <c r="G13" s="7" t="n">
        <f aca="false">SUMIFS(Ausgaben!$E$2:$E$301,Ausgaben!$C$2:$C$301,$A13,Ausgaben!$B$2:$B$301,6)</f>
        <v>0</v>
      </c>
      <c r="H13" s="7" t="n">
        <f aca="false">SUMIFS(Ausgaben!$E$2:$E$301,Ausgaben!$C$2:$C$301,$A13,Ausgaben!$B$2:$B$301,7)</f>
        <v>0</v>
      </c>
      <c r="I13" s="7" t="n">
        <f aca="false">SUMIFS(Ausgaben!$E$2:$E$301,Ausgaben!$C$2:$C$301,$A13,Ausgaben!$B$2:$B$301,8)</f>
        <v>0</v>
      </c>
      <c r="J13" s="7" t="n">
        <f aca="false">SUMIFS(Ausgaben!$E$2:$E$301,Ausgaben!$C$2:$C$301,$A13,Ausgaben!$B$2:$B$301,9)</f>
        <v>0</v>
      </c>
      <c r="K13" s="7" t="n">
        <f aca="false">SUMIFS(Ausgaben!$E$2:$E$301,Ausgaben!$C$2:$C$301,$A13,Ausgaben!$B$2:$B$301,10)</f>
        <v>0</v>
      </c>
      <c r="L13" s="7" t="n">
        <f aca="false">SUMIFS(Ausgaben!$E$2:$E$301,Ausgaben!$C$2:$C$301,$A13,Ausgaben!$B$2:$B$301,11)</f>
        <v>0</v>
      </c>
      <c r="M13" s="7" t="n">
        <f aca="false">SUMIFS(Ausgaben!$E$2:$E$301,Ausgaben!$C$2:$C$301,$A13,Ausgaben!$B$2:$B$301,12)</f>
        <v>0</v>
      </c>
      <c r="N13" s="11" t="n">
        <f aca="false">SUM(B13:M13)</f>
        <v>0</v>
      </c>
    </row>
    <row r="14" customFormat="false" ht="15" hidden="false" customHeight="false" outlineLevel="0" collapsed="false">
      <c r="A14" s="3" t="s">
        <v>39</v>
      </c>
      <c r="B14" s="7" t="n">
        <f aca="false">SUMIFS(Ausgaben!$E$2:$E$301,Ausgaben!$C$2:$C$301,$A14,Ausgaben!$B$2:$B$301,1)</f>
        <v>0</v>
      </c>
      <c r="C14" s="7" t="n">
        <f aca="false">SUMIFS(Ausgaben!$E$2:$E$301,Ausgaben!$C$2:$C$301,$A14,Ausgaben!$B$2:$B$301,2)</f>
        <v>0</v>
      </c>
      <c r="D14" s="7" t="n">
        <f aca="false">SUMIFS(Ausgaben!$E$2:$E$301,Ausgaben!$C$2:$C$301,$A14,Ausgaben!$B$2:$B$301,3)</f>
        <v>0</v>
      </c>
      <c r="E14" s="7" t="n">
        <f aca="false">SUMIFS(Ausgaben!$E$2:$E$301,Ausgaben!$C$2:$C$301,$A14,Ausgaben!$B$2:$B$301,4)</f>
        <v>0</v>
      </c>
      <c r="F14" s="7" t="n">
        <f aca="false">SUMIFS(Ausgaben!$E$2:$E$301,Ausgaben!$C$2:$C$301,$A14,Ausgaben!$B$2:$B$301,5)</f>
        <v>0</v>
      </c>
      <c r="G14" s="7" t="n">
        <f aca="false">SUMIFS(Ausgaben!$E$2:$E$301,Ausgaben!$C$2:$C$301,$A14,Ausgaben!$B$2:$B$301,6)</f>
        <v>0</v>
      </c>
      <c r="H14" s="7" t="n">
        <f aca="false">SUMIFS(Ausgaben!$E$2:$E$301,Ausgaben!$C$2:$C$301,$A14,Ausgaben!$B$2:$B$301,7)</f>
        <v>0</v>
      </c>
      <c r="I14" s="7" t="n">
        <f aca="false">SUMIFS(Ausgaben!$E$2:$E$301,Ausgaben!$C$2:$C$301,$A14,Ausgaben!$B$2:$B$301,8)</f>
        <v>0</v>
      </c>
      <c r="J14" s="7" t="n">
        <f aca="false">SUMIFS(Ausgaben!$E$2:$E$301,Ausgaben!$C$2:$C$301,$A14,Ausgaben!$B$2:$B$301,9)</f>
        <v>0</v>
      </c>
      <c r="K14" s="7" t="n">
        <f aca="false">SUMIFS(Ausgaben!$E$2:$E$301,Ausgaben!$C$2:$C$301,$A14,Ausgaben!$B$2:$B$301,10)</f>
        <v>0</v>
      </c>
      <c r="L14" s="7" t="n">
        <f aca="false">SUMIFS(Ausgaben!$E$2:$E$301,Ausgaben!$C$2:$C$301,$A14,Ausgaben!$B$2:$B$301,11)</f>
        <v>0</v>
      </c>
      <c r="M14" s="7" t="n">
        <f aca="false">SUMIFS(Ausgaben!$E$2:$E$301,Ausgaben!$C$2:$C$301,$A14,Ausgaben!$B$2:$B$301,12)</f>
        <v>0</v>
      </c>
      <c r="N14" s="11" t="n">
        <f aca="false">SUM(B14:M14)</f>
        <v>0</v>
      </c>
    </row>
    <row r="15" customFormat="false" ht="15" hidden="false" customHeight="false" outlineLevel="0" collapsed="false">
      <c r="A15" s="3" t="s">
        <v>40</v>
      </c>
      <c r="B15" s="7" t="n">
        <f aca="false">SUMIFS(Ausgaben!$E$2:$E$301,Ausgaben!$C$2:$C$301,$A15,Ausgaben!$B$2:$B$301,1)</f>
        <v>0</v>
      </c>
      <c r="C15" s="7" t="n">
        <f aca="false">SUMIFS(Ausgaben!$E$2:$E$301,Ausgaben!$C$2:$C$301,$A15,Ausgaben!$B$2:$B$301,2)</f>
        <v>0</v>
      </c>
      <c r="D15" s="7" t="n">
        <f aca="false">SUMIFS(Ausgaben!$E$2:$E$301,Ausgaben!$C$2:$C$301,$A15,Ausgaben!$B$2:$B$301,3)</f>
        <v>0</v>
      </c>
      <c r="E15" s="7" t="n">
        <f aca="false">SUMIFS(Ausgaben!$E$2:$E$301,Ausgaben!$C$2:$C$301,$A15,Ausgaben!$B$2:$B$301,4)</f>
        <v>0</v>
      </c>
      <c r="F15" s="7" t="n">
        <f aca="false">SUMIFS(Ausgaben!$E$2:$E$301,Ausgaben!$C$2:$C$301,$A15,Ausgaben!$B$2:$B$301,5)</f>
        <v>0</v>
      </c>
      <c r="G15" s="7" t="n">
        <f aca="false">SUMIFS(Ausgaben!$E$2:$E$301,Ausgaben!$C$2:$C$301,$A15,Ausgaben!$B$2:$B$301,6)</f>
        <v>0</v>
      </c>
      <c r="H15" s="7" t="n">
        <f aca="false">SUMIFS(Ausgaben!$E$2:$E$301,Ausgaben!$C$2:$C$301,$A15,Ausgaben!$B$2:$B$301,7)</f>
        <v>0</v>
      </c>
      <c r="I15" s="7" t="n">
        <f aca="false">SUMIFS(Ausgaben!$E$2:$E$301,Ausgaben!$C$2:$C$301,$A15,Ausgaben!$B$2:$B$301,8)</f>
        <v>0</v>
      </c>
      <c r="J15" s="7" t="n">
        <f aca="false">SUMIFS(Ausgaben!$E$2:$E$301,Ausgaben!$C$2:$C$301,$A15,Ausgaben!$B$2:$B$301,9)</f>
        <v>0</v>
      </c>
      <c r="K15" s="7" t="n">
        <f aca="false">SUMIFS(Ausgaben!$E$2:$E$301,Ausgaben!$C$2:$C$301,$A15,Ausgaben!$B$2:$B$301,10)</f>
        <v>0</v>
      </c>
      <c r="L15" s="7" t="n">
        <f aca="false">SUMIFS(Ausgaben!$E$2:$E$301,Ausgaben!$C$2:$C$301,$A15,Ausgaben!$B$2:$B$301,11)</f>
        <v>0</v>
      </c>
      <c r="M15" s="7" t="n">
        <f aca="false">SUMIFS(Ausgaben!$E$2:$E$301,Ausgaben!$C$2:$C$301,$A15,Ausgaben!$B$2:$B$301,12)</f>
        <v>0</v>
      </c>
      <c r="N15" s="11" t="n">
        <f aca="false">SUM(B15:M15)</f>
        <v>0</v>
      </c>
    </row>
    <row r="16" customFormat="false" ht="15" hidden="false" customHeight="false" outlineLevel="0" collapsed="false">
      <c r="A16" s="3" t="s">
        <v>41</v>
      </c>
      <c r="B16" s="7" t="n">
        <f aca="false">SUMIFS(Ausgaben!$E$2:$E$301,Ausgaben!$C$2:$C$301,$A16,Ausgaben!$B$2:$B$301,1)</f>
        <v>0</v>
      </c>
      <c r="C16" s="7" t="n">
        <f aca="false">SUMIFS(Ausgaben!$E$2:$E$301,Ausgaben!$C$2:$C$301,$A16,Ausgaben!$B$2:$B$301,2)</f>
        <v>0</v>
      </c>
      <c r="D16" s="7" t="n">
        <f aca="false">SUMIFS(Ausgaben!$E$2:$E$301,Ausgaben!$C$2:$C$301,$A16,Ausgaben!$B$2:$B$301,3)</f>
        <v>0</v>
      </c>
      <c r="E16" s="7" t="n">
        <f aca="false">SUMIFS(Ausgaben!$E$2:$E$301,Ausgaben!$C$2:$C$301,$A16,Ausgaben!$B$2:$B$301,4)</f>
        <v>0</v>
      </c>
      <c r="F16" s="7" t="n">
        <f aca="false">SUMIFS(Ausgaben!$E$2:$E$301,Ausgaben!$C$2:$C$301,$A16,Ausgaben!$B$2:$B$301,5)</f>
        <v>0</v>
      </c>
      <c r="G16" s="7" t="n">
        <f aca="false">SUMIFS(Ausgaben!$E$2:$E$301,Ausgaben!$C$2:$C$301,$A16,Ausgaben!$B$2:$B$301,6)</f>
        <v>0</v>
      </c>
      <c r="H16" s="7" t="n">
        <f aca="false">SUMIFS(Ausgaben!$E$2:$E$301,Ausgaben!$C$2:$C$301,$A16,Ausgaben!$B$2:$B$301,7)</f>
        <v>0</v>
      </c>
      <c r="I16" s="7" t="n">
        <f aca="false">SUMIFS(Ausgaben!$E$2:$E$301,Ausgaben!$C$2:$C$301,$A16,Ausgaben!$B$2:$B$301,8)</f>
        <v>0</v>
      </c>
      <c r="J16" s="7" t="n">
        <f aca="false">SUMIFS(Ausgaben!$E$2:$E$301,Ausgaben!$C$2:$C$301,$A16,Ausgaben!$B$2:$B$301,9)</f>
        <v>0</v>
      </c>
      <c r="K16" s="7" t="n">
        <f aca="false">SUMIFS(Ausgaben!$E$2:$E$301,Ausgaben!$C$2:$C$301,$A16,Ausgaben!$B$2:$B$301,10)</f>
        <v>0</v>
      </c>
      <c r="L16" s="7" t="n">
        <f aca="false">SUMIFS(Ausgaben!$E$2:$E$301,Ausgaben!$C$2:$C$301,$A16,Ausgaben!$B$2:$B$301,11)</f>
        <v>0</v>
      </c>
      <c r="M16" s="7" t="n">
        <f aca="false">SUMIFS(Ausgaben!$E$2:$E$301,Ausgaben!$C$2:$C$301,$A16,Ausgaben!$B$2:$B$301,12)</f>
        <v>0</v>
      </c>
      <c r="N16" s="11" t="n">
        <f aca="false">SUM(B16:M16)</f>
        <v>0</v>
      </c>
    </row>
    <row r="17" customFormat="false" ht="15" hidden="false" customHeight="false" outlineLevel="0" collapsed="false">
      <c r="A17" s="3" t="s">
        <v>42</v>
      </c>
      <c r="B17" s="7" t="n">
        <f aca="false">SUMIFS(Ausgaben!$E$2:$E$301,Ausgaben!$C$2:$C$301,$A17,Ausgaben!$B$2:$B$301,1)</f>
        <v>0</v>
      </c>
      <c r="C17" s="7" t="n">
        <f aca="false">SUMIFS(Ausgaben!$E$2:$E$301,Ausgaben!$C$2:$C$301,$A17,Ausgaben!$B$2:$B$301,2)</f>
        <v>0</v>
      </c>
      <c r="D17" s="7" t="n">
        <f aca="false">SUMIFS(Ausgaben!$E$2:$E$301,Ausgaben!$C$2:$C$301,$A17,Ausgaben!$B$2:$B$301,3)</f>
        <v>0</v>
      </c>
      <c r="E17" s="7" t="n">
        <f aca="false">SUMIFS(Ausgaben!$E$2:$E$301,Ausgaben!$C$2:$C$301,$A17,Ausgaben!$B$2:$B$301,4)</f>
        <v>0</v>
      </c>
      <c r="F17" s="7" t="n">
        <f aca="false">SUMIFS(Ausgaben!$E$2:$E$301,Ausgaben!$C$2:$C$301,$A17,Ausgaben!$B$2:$B$301,5)</f>
        <v>0</v>
      </c>
      <c r="G17" s="7" t="n">
        <f aca="false">SUMIFS(Ausgaben!$E$2:$E$301,Ausgaben!$C$2:$C$301,$A17,Ausgaben!$B$2:$B$301,6)</f>
        <v>0</v>
      </c>
      <c r="H17" s="7" t="n">
        <f aca="false">SUMIFS(Ausgaben!$E$2:$E$301,Ausgaben!$C$2:$C$301,$A17,Ausgaben!$B$2:$B$301,7)</f>
        <v>0</v>
      </c>
      <c r="I17" s="7" t="n">
        <f aca="false">SUMIFS(Ausgaben!$E$2:$E$301,Ausgaben!$C$2:$C$301,$A17,Ausgaben!$B$2:$B$301,8)</f>
        <v>0</v>
      </c>
      <c r="J17" s="7" t="n">
        <f aca="false">SUMIFS(Ausgaben!$E$2:$E$301,Ausgaben!$C$2:$C$301,$A17,Ausgaben!$B$2:$B$301,9)</f>
        <v>0</v>
      </c>
      <c r="K17" s="7" t="n">
        <f aca="false">SUMIFS(Ausgaben!$E$2:$E$301,Ausgaben!$C$2:$C$301,$A17,Ausgaben!$B$2:$B$301,10)</f>
        <v>0</v>
      </c>
      <c r="L17" s="7" t="n">
        <f aca="false">SUMIFS(Ausgaben!$E$2:$E$301,Ausgaben!$C$2:$C$301,$A17,Ausgaben!$B$2:$B$301,11)</f>
        <v>0</v>
      </c>
      <c r="M17" s="7" t="n">
        <f aca="false">SUMIFS(Ausgaben!$E$2:$E$301,Ausgaben!$C$2:$C$301,$A17,Ausgaben!$B$2:$B$301,12)</f>
        <v>0</v>
      </c>
      <c r="N17" s="11" t="n">
        <f aca="false">SUM(B17:M17)</f>
        <v>0</v>
      </c>
    </row>
    <row r="18" customFormat="false" ht="15" hidden="false" customHeight="false" outlineLevel="0" collapsed="false">
      <c r="A18" s="3" t="s">
        <v>43</v>
      </c>
      <c r="B18" s="7" t="n">
        <f aca="false">SUMIFS(Ausgaben!$E$2:$E$301,Ausgaben!$C$2:$C$301,$A18,Ausgaben!$B$2:$B$301,1)</f>
        <v>0</v>
      </c>
      <c r="C18" s="7" t="n">
        <f aca="false">SUMIFS(Ausgaben!$E$2:$E$301,Ausgaben!$C$2:$C$301,$A18,Ausgaben!$B$2:$B$301,2)</f>
        <v>0</v>
      </c>
      <c r="D18" s="7" t="n">
        <f aca="false">SUMIFS(Ausgaben!$E$2:$E$301,Ausgaben!$C$2:$C$301,$A18,Ausgaben!$B$2:$B$301,3)</f>
        <v>0</v>
      </c>
      <c r="E18" s="7" t="n">
        <f aca="false">SUMIFS(Ausgaben!$E$2:$E$301,Ausgaben!$C$2:$C$301,$A18,Ausgaben!$B$2:$B$301,4)</f>
        <v>0</v>
      </c>
      <c r="F18" s="7" t="n">
        <f aca="false">SUMIFS(Ausgaben!$E$2:$E$301,Ausgaben!$C$2:$C$301,$A18,Ausgaben!$B$2:$B$301,5)</f>
        <v>0</v>
      </c>
      <c r="G18" s="7" t="n">
        <f aca="false">SUMIFS(Ausgaben!$E$2:$E$301,Ausgaben!$C$2:$C$301,$A18,Ausgaben!$B$2:$B$301,6)</f>
        <v>0</v>
      </c>
      <c r="H18" s="7" t="n">
        <f aca="false">SUMIFS(Ausgaben!$E$2:$E$301,Ausgaben!$C$2:$C$301,$A18,Ausgaben!$B$2:$B$301,7)</f>
        <v>0</v>
      </c>
      <c r="I18" s="7" t="n">
        <f aca="false">SUMIFS(Ausgaben!$E$2:$E$301,Ausgaben!$C$2:$C$301,$A18,Ausgaben!$B$2:$B$301,8)</f>
        <v>0</v>
      </c>
      <c r="J18" s="7" t="n">
        <f aca="false">SUMIFS(Ausgaben!$E$2:$E$301,Ausgaben!$C$2:$C$301,$A18,Ausgaben!$B$2:$B$301,9)</f>
        <v>0</v>
      </c>
      <c r="K18" s="7" t="n">
        <f aca="false">SUMIFS(Ausgaben!$E$2:$E$301,Ausgaben!$C$2:$C$301,$A18,Ausgaben!$B$2:$B$301,10)</f>
        <v>0</v>
      </c>
      <c r="L18" s="7" t="n">
        <f aca="false">SUMIFS(Ausgaben!$E$2:$E$301,Ausgaben!$C$2:$C$301,$A18,Ausgaben!$B$2:$B$301,11)</f>
        <v>0</v>
      </c>
      <c r="M18" s="7" t="n">
        <f aca="false">SUMIFS(Ausgaben!$E$2:$E$301,Ausgaben!$C$2:$C$301,$A18,Ausgaben!$B$2:$B$301,12)</f>
        <v>0</v>
      </c>
      <c r="N18" s="11" t="n">
        <f aca="false">SUM(B18:M18)</f>
        <v>0</v>
      </c>
    </row>
    <row r="19" customFormat="false" ht="15" hidden="false" customHeight="false" outlineLevel="0" collapsed="false">
      <c r="A19" s="12" t="s">
        <v>44</v>
      </c>
      <c r="B19" s="13" t="n">
        <f aca="false">SUM(B5:B18)</f>
        <v>295</v>
      </c>
      <c r="C19" s="13" t="n">
        <f aca="false">SUM(C5:C18)</f>
        <v>0</v>
      </c>
      <c r="D19" s="13" t="n">
        <f aca="false">SUM(D5:D18)</f>
        <v>0</v>
      </c>
      <c r="E19" s="13" t="n">
        <f aca="false">SUM(E5:E18)</f>
        <v>0</v>
      </c>
      <c r="F19" s="13" t="n">
        <f aca="false">SUM(F5:F18)</f>
        <v>0</v>
      </c>
      <c r="G19" s="13" t="n">
        <f aca="false">SUM(G5:G18)</f>
        <v>0</v>
      </c>
      <c r="H19" s="13" t="n">
        <f aca="false">SUM(H5:H18)</f>
        <v>0</v>
      </c>
      <c r="I19" s="13" t="n">
        <f aca="false">SUM(I5:I18)</f>
        <v>0</v>
      </c>
      <c r="J19" s="13" t="n">
        <f aca="false">SUM(J5:J18)</f>
        <v>0</v>
      </c>
      <c r="K19" s="13" t="n">
        <f aca="false">SUM(K5:K18)</f>
        <v>0</v>
      </c>
      <c r="L19" s="13" t="n">
        <f aca="false">SUM(L5:L18)</f>
        <v>0</v>
      </c>
      <c r="M19" s="13" t="n">
        <f aca="false">SUM(M5:M18)</f>
        <v>0</v>
      </c>
      <c r="N19" s="13" t="n">
        <f aca="false">SUM(N5:N18)</f>
        <v>295</v>
      </c>
    </row>
    <row r="21" customFormat="false" ht="15" hidden="false" customHeight="false" outlineLevel="0" collapsed="false">
      <c r="A21" s="14" t="s">
        <v>45</v>
      </c>
    </row>
    <row r="22" customFormat="false" ht="15" hidden="false" customHeight="false" outlineLevel="0" collapsed="false">
      <c r="A22" s="15" t="s">
        <v>44</v>
      </c>
      <c r="B22" s="16" t="n">
        <f aca="false">SUM(Ausgaben!$E$2:$E$301)</f>
        <v>295</v>
      </c>
    </row>
    <row r="23" customFormat="false" ht="15" hidden="false" customHeight="false" outlineLevel="0" collapsed="false">
      <c r="A23" s="15" t="s">
        <v>46</v>
      </c>
      <c r="B23" s="16" t="n">
        <f aca="false">SUM(Ausgaben!$G$2:$G$301)</f>
        <v>56.05</v>
      </c>
    </row>
    <row r="24" customFormat="false" ht="15" hidden="false" customHeight="false" outlineLevel="0" collapsed="false">
      <c r="A24" s="15" t="s">
        <v>47</v>
      </c>
      <c r="B24" s="16" t="n">
        <f aca="false">SUM(Ausgaben!$H$2:$H$301)</f>
        <v>351.05</v>
      </c>
    </row>
    <row r="25" customFormat="false" ht="15" hidden="false" customHeight="false" outlineLevel="0" collapsed="false">
      <c r="A25" s="15" t="s">
        <v>48</v>
      </c>
      <c r="B25" s="14" t="n">
        <f aca="false">COUNT(Ausgaben!$E$2:$E$301)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7" t="s">
        <v>49</v>
      </c>
      <c r="B1" s="17" t="s">
        <v>50</v>
      </c>
    </row>
    <row r="2" customFormat="false" ht="15" hidden="false" customHeight="false" outlineLevel="0" collapsed="false">
      <c r="A2" s="15" t="s">
        <v>31</v>
      </c>
      <c r="B2" s="15" t="s">
        <v>51</v>
      </c>
    </row>
    <row r="3" customFormat="false" ht="15" hidden="false" customHeight="false" outlineLevel="0" collapsed="false">
      <c r="A3" s="15" t="s">
        <v>11</v>
      </c>
      <c r="B3" s="15" t="s">
        <v>13</v>
      </c>
    </row>
    <row r="4" customFormat="false" ht="15" hidden="false" customHeight="false" outlineLevel="0" collapsed="false">
      <c r="A4" s="15" t="s">
        <v>32</v>
      </c>
      <c r="B4" s="15" t="s">
        <v>52</v>
      </c>
    </row>
    <row r="5" customFormat="false" ht="15" hidden="false" customHeight="false" outlineLevel="0" collapsed="false">
      <c r="A5" s="15" t="s">
        <v>33</v>
      </c>
      <c r="B5" s="15" t="s">
        <v>53</v>
      </c>
    </row>
    <row r="6" customFormat="false" ht="15" hidden="false" customHeight="false" outlineLevel="0" collapsed="false">
      <c r="A6" s="15" t="s">
        <v>34</v>
      </c>
      <c r="B6" s="15" t="s">
        <v>54</v>
      </c>
    </row>
    <row r="7" customFormat="false" ht="15" hidden="false" customHeight="false" outlineLevel="0" collapsed="false">
      <c r="A7" s="15" t="s">
        <v>35</v>
      </c>
      <c r="B7" s="15" t="s">
        <v>55</v>
      </c>
    </row>
    <row r="8" customFormat="false" ht="15" hidden="false" customHeight="false" outlineLevel="0" collapsed="false">
      <c r="A8" s="15" t="s">
        <v>36</v>
      </c>
    </row>
    <row r="9" customFormat="false" ht="15" hidden="false" customHeight="false" outlineLevel="0" collapsed="false">
      <c r="A9" s="15" t="s">
        <v>37</v>
      </c>
    </row>
    <row r="10" customFormat="false" ht="15" hidden="false" customHeight="false" outlineLevel="0" collapsed="false">
      <c r="A10" s="15" t="s">
        <v>38</v>
      </c>
    </row>
    <row r="11" customFormat="false" ht="15" hidden="false" customHeight="false" outlineLevel="0" collapsed="false">
      <c r="A11" s="15" t="s">
        <v>39</v>
      </c>
    </row>
    <row r="12" customFormat="false" ht="15" hidden="false" customHeight="false" outlineLevel="0" collapsed="false">
      <c r="A12" s="15" t="s">
        <v>40</v>
      </c>
    </row>
    <row r="13" customFormat="false" ht="15" hidden="false" customHeight="false" outlineLevel="0" collapsed="false">
      <c r="A13" s="15" t="s">
        <v>41</v>
      </c>
    </row>
    <row r="14" customFormat="false" ht="15" hidden="false" customHeight="false" outlineLevel="0" collapsed="false">
      <c r="A14" s="15" t="s">
        <v>42</v>
      </c>
    </row>
    <row r="15" customFormat="false" ht="15" hidden="false" customHeight="false" outlineLevel="0" collapsed="false">
      <c r="A15" s="1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8" t="s">
        <v>56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57</v>
      </c>
    </row>
    <row r="4" customFormat="false" ht="15" hidden="false" customHeight="false" outlineLevel="0" collapsed="false">
      <c r="A4" s="15" t="s">
        <v>58</v>
      </c>
    </row>
    <row r="5" customFormat="false" ht="15" hidden="false" customHeight="false" outlineLevel="0" collapsed="false">
      <c r="A5" s="15" t="s">
        <v>59</v>
      </c>
    </row>
    <row r="6" customFormat="false" ht="15" hidden="false" customHeight="false" outlineLevel="0" collapsed="false">
      <c r="A6" s="15"/>
    </row>
    <row r="7" customFormat="false" ht="15" hidden="false" customHeight="false" outlineLevel="0" collapsed="false">
      <c r="A7" s="15" t="s">
        <v>60</v>
      </c>
    </row>
    <row r="8" customFormat="false" ht="15" hidden="false" customHeight="false" outlineLevel="0" collapsed="false">
      <c r="A8" s="15" t="s">
        <v>61</v>
      </c>
    </row>
    <row r="9" customFormat="false" ht="15" hidden="false" customHeight="false" outlineLevel="0" collapsed="false">
      <c r="A9" s="15" t="s">
        <v>62</v>
      </c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15" t="s">
        <v>63</v>
      </c>
    </row>
    <row r="12" customFormat="false" ht="15" hidden="false" customHeight="false" outlineLevel="0" collapsed="false">
      <c r="A12" s="15" t="s">
        <v>64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5" t="s">
        <v>65</v>
      </c>
    </row>
    <row r="15" customFormat="false" ht="15" hidden="false" customHeight="false" outlineLevel="0" collapsed="false">
      <c r="A15" s="1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2026-08-04T09:06:49Z</dcterms:created>
  <dc:creator>openpyxl</dc:creator>
  <dc:description/>
  <dc:language>en-US</dc:language>
  <cp:lastModifiedBy/>
  <dcterms:modified xsi:type="dcterms:W3CDTF">2026-08-04T09:06:49Z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